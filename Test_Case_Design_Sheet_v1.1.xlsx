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6.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est_Cases" sheetId="2" state="visible" r:id="rId4"/>
    <sheet name="Test_Data" sheetId="3" state="visible" r:id="rId5"/>
    <sheet name="Calculators" sheetId="4" state="visible" r:id="rId6"/>
    <sheet name="Environment_Facts" sheetId="5" state="visible" r:id="rId7"/>
    <sheet name="Traceability_Risk" sheetId="6" state="visible" r:id="rId8"/>
    <sheet name="Traceability_SDC" sheetId="7" state="visible" r:id="rId9"/>
    <sheet name="Coverage_Summary" sheetId="8" state="visible" r:id="rId10"/>
    <sheet name="Open_Items" sheetId="9" state="visible" r:id="rId11"/>
    <sheet name="Change_Log" sheetId="10" state="visible" r:id="rId12"/>
    <sheet name="Locator_Map" sheetId="11" state="visible" r:id="rId13"/>
  </sheets>
  <definedNames>
    <definedName function="false" hidden="true" localSheetId="10" name="_xlnm._FilterDatabase" vbProcedure="false">Locator_Map!$A$1:$E$291</definedName>
    <definedName function="false" hidden="true" localSheetId="1" name="_xlnm._FilterDatabase" vbProcedure="false">Test_Cases!$A$1:$Y$82</definedName>
    <definedName function="false" hidden="true" localSheetId="5" name="_xlnm._FilterDatabase" vbProcedure="false">Traceability_Risk!$A$1:$K$63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<sst xmlns="http://schemas.openxmlformats.org/spreadsheetml/2006/main" count="4341" uniqueCount="2113">
  <si>
    <t xml:space="preserve">Test Case Design Sheet v1.1</t>
  </si>
  <si>
    <t xml:space="preserve">Project</t>
  </si>
  <si>
    <t xml:space="preserve">Playwright QA Automation for Insurance Order Entry Platform (Whole Life), application on port 8081. Submission 2: Test Design.</t>
  </si>
  <si>
    <t xml:space="preserve">What changed in v1.1</t>
  </si>
  <si>
    <t xml:space="preserve">Reconciled with: the mentor/learner answers to Q-01..Q-17, the Lab Manual (users, URLs, API key header), and constants read from the application source (routes, config, seed data, markup test ids). All 81 tests and their priorities are kept (Q-16). See Change_Log for details.</t>
  </si>
  <si>
    <t xml:space="preserve">Basis codes</t>
  </si>
  <si>
    <t xml:space="preserve">M = Lab Manual. S = application source (constants, config, seed data, markup). A = learner answer. D = Functional / Problem documents. V = to verify at first run. Source-derived values are expectations to CONFIRM in the running UI, not a replacement for the business documents.</t>
  </si>
  <si>
    <t xml:space="preserve">Black-box note</t>
  </si>
  <si>
    <t xml:space="preserve">The Lab Manual says to treat both apps as black boxes. The source was used only for constants and selectors. Expected results still come from the functional documents; any difference found at run time is a finding, not a test change.</t>
  </si>
  <si>
    <t xml:space="preserve">Sheets</t>
  </si>
  <si>
    <t xml:space="preserve">Test_Cases (81) | Test_Data | Calculators (premium and affordability, live formulas) | Environment_Facts (confirmed facts) | Locator_Map (data-testid per page) | Traceability_Risk | Traceability_SDC | Coverage_Summary | Open_Items | Change_Log</t>
  </si>
  <si>
    <t xml:space="preserve">Edit these cells</t>
  </si>
  <si>
    <t xml:space="preserve">Yellow cells: Execution status, Defect ID, Defect type, Notes (Test_Cases); Official catalog ID (Traceability_SDC); Status (Open_Items). Blue numbers on Calculators and Coverage_Summary are inputs.</t>
  </si>
  <si>
    <t xml:space="preserve">Do not rename</t>
  </si>
  <si>
    <t xml:space="preserve">Module names, Risk IDs and SDC IDs are used by COUNTIF formulas; keep them exactly, separated by "; ".</t>
  </si>
  <si>
    <t xml:space="preserve">Credentials</t>
  </si>
  <si>
    <t xml:space="preserve">Usernames only appear in this workbook. Passwords and the API key are read from .env (INSURANCE_PASSWORD, INSURANCE_API_KEY) and are never written into tests, reports or submissions (Lab Manual section 13).</t>
  </si>
  <si>
    <t xml:space="preserve">Example row</t>
  </si>
  <si>
    <t xml:space="preserve">Row 2 of Test_Cases (TC-AUTH-001) shows the expected level of detail.</t>
  </si>
  <si>
    <t xml:space="preserve">Key definitions</t>
  </si>
  <si>
    <t xml:space="preserve">Priority</t>
  </si>
  <si>
    <t xml:space="preserve">P1 = covers a P1 risk or is a smoke test; P2 = P2 risk; P3 = lower. "Priority basis" names the risk that sets it (Q-16).</t>
  </si>
  <si>
    <t xml:space="preserve">Automation status</t>
  </si>
  <si>
    <t xml:space="preserve">Ready = all facts known, build now. Needs confirmation = one item in "Remaining open items" must be checked at first run. Automated / Manual only are set while building.</t>
  </si>
  <si>
    <t xml:space="preserve">Defect type (if Fail)</t>
  </si>
  <si>
    <t xml:space="preserve">Q-17: report both. Expected seeded (candidate) = matches an SDC row; Unexpected = anything else; plus Automation issue and Environment/data so failures are classified before logging.</t>
  </si>
  <si>
    <t xml:space="preserve">UI selectors / API contract</t>
  </si>
  <si>
    <t xml:space="preserve">data-testid values that exist in the build, or the API call and its response envelope. Use these instead of guessing locators.</t>
  </si>
  <si>
    <t xml:space="preserve">Same-agent rule</t>
  </si>
  <si>
    <t xml:space="preserve">The API acts as learner001 unless agent_email is passed. Every UI-vs-API comparison must pass agent_email equal to the logged-in UI user.</t>
  </si>
  <si>
    <t xml:space="preserve">TC ID</t>
  </si>
  <si>
    <t xml:space="preserve">Module</t>
  </si>
  <si>
    <t xml:space="preserve">Validation ID</t>
  </si>
  <si>
    <t xml:space="preserve">Scenario</t>
  </si>
  <si>
    <t xml:space="preserve">Risk ID(s)</t>
  </si>
  <si>
    <t xml:space="preserve">Seeded defect candidate(s)</t>
  </si>
  <si>
    <t xml:space="preserve">Layer</t>
  </si>
  <si>
    <t xml:space="preserve">Test type</t>
  </si>
  <si>
    <t xml:space="preserve">Priority basis</t>
  </si>
  <si>
    <t xml:space="preserve">Tags</t>
  </si>
  <si>
    <t xml:space="preserve">Preconditions</t>
  </si>
  <si>
    <t xml:space="preserve">Test data</t>
  </si>
  <si>
    <t xml:space="preserve">Test steps</t>
  </si>
  <si>
    <t xml:space="preserve">Expected result</t>
  </si>
  <si>
    <t xml:space="preserve">Page object / helper</t>
  </si>
  <si>
    <t xml:space="preserve">Evidence expectation</t>
  </si>
  <si>
    <t xml:space="preserve">Remaining open items</t>
  </si>
  <si>
    <t xml:space="preserve">Source basis</t>
  </si>
  <si>
    <t xml:space="preserve">Execution status</t>
  </si>
  <si>
    <t xml:space="preserve">Defect ID</t>
  </si>
  <si>
    <t xml:space="preserve">Notes</t>
  </si>
  <si>
    <t xml:space="preserve">TC-AUTH-001</t>
  </si>
  <si>
    <t xml:space="preserve">Authentication</t>
  </si>
  <si>
    <t xml:space="preserve">AUTH-V01</t>
  </si>
  <si>
    <t xml:space="preserve">Valid agent can log in successfully</t>
  </si>
  <si>
    <t xml:space="preserve">R-AUTH-01</t>
  </si>
  <si>
    <t xml:space="preserve">SDC-01</t>
  </si>
  <si>
    <t xml:space="preserve">UI</t>
  </si>
  <si>
    <t xml:space="preserve">Smoke</t>
  </si>
  <si>
    <t xml:space="preserve">P1</t>
  </si>
  <si>
    <t xml:space="preserve">Smoke test; highest linked risk R-AUTH-01 (score 9)</t>
  </si>
  <si>
    <t xml:space="preserve">@smoke @regression @authentication @SDC-01</t>
  </si>
  <si>
    <t xml:space="preserve">Application reachable. No active session (fresh browser context).</t>
  </si>
  <si>
    <t xml:space="preserve">{validAgent} = agent.valid@insurance.test (password from .env)</t>
  </si>
  <si>
    <t xml:space="preserve">1. Open /login.
2. Fill login-email-input and login-password-input.
3. Click login-submit-button.</t>
  </si>
  <si>
    <t xml:space="preserve">- URL is /dashboard (not /login).
- dashboard-page is visible with the agent's applications.
- No error alert.</t>
  </si>
  <si>
    <t xml:space="preserve">/login: login-email-input, login-password-input, login-submit-button; then dashboard-page</t>
  </si>
  <si>
    <t xml:space="preserve">LoginPage, DashboardPage</t>
  </si>
  <si>
    <t xml:space="preserve">Screenshot of dashboard greeting; trace on failure.</t>
  </si>
  <si>
    <t xml:space="preserve">M, S</t>
  </si>
  <si>
    <t xml:space="preserve">Ready</t>
  </si>
  <si>
    <t xml:space="preserve">Not run</t>
  </si>
  <si>
    <t xml:space="preserve">TC-AUTH-002</t>
  </si>
  <si>
    <t xml:space="preserve">AUTH-V02</t>
  </si>
  <si>
    <t xml:space="preserve">Invalid password displays the correct error message</t>
  </si>
  <si>
    <t xml:space="preserve">R-AUTH-05</t>
  </si>
  <si>
    <t xml:space="preserve">Smoke test; highest linked risk R-AUTH-05 (score 4)</t>
  </si>
  <si>
    <t xml:space="preserve">@smoke @regression @authentication</t>
  </si>
  <si>
    <t xml:space="preserve">No active session.</t>
  </si>
  <si>
    <t xml:space="preserve">{validAgent} username + wrong password "Wrong#Pass123"</t>
  </si>
  <si>
    <t xml:space="preserve">1. Open /login.
2. Enter valid username and the wrong password.
3. Click sign in.</t>
  </si>
  <si>
    <t xml:space="preserve">- User stays on /login.
- Invalid-credentials error is displayed (capture exact text on first run).
- No session; /dashboard redirects to /login.</t>
  </si>
  <si>
    <t xml:space="preserve">login-form, validation-error-alert / status-alert</t>
  </si>
  <si>
    <t xml:space="preserve">LoginPage</t>
  </si>
  <si>
    <t xml:space="preserve">Screenshot of error message.</t>
  </si>
  <si>
    <t xml:space="preserve">TC-AUTH-003</t>
  </si>
  <si>
    <t xml:space="preserve">AUTH-V03</t>
  </si>
  <si>
    <t xml:space="preserve">Blank username and password show mandatory validation</t>
  </si>
  <si>
    <t xml:space="preserve">Negative</t>
  </si>
  <si>
    <t xml:space="preserve">P3</t>
  </si>
  <si>
    <t xml:space="preserve">highest linked risk R-AUTH-05 (score 4)</t>
  </si>
  <si>
    <t xml:space="preserve">@regression @authentication</t>
  </si>
  <si>
    <t xml:space="preserve">Empty username and password</t>
  </si>
  <si>
    <t xml:space="preserve">1. Open /login.
2. Leave both fields empty and click sign in.
3. Repeat with only username filled, then only password filled.</t>
  </si>
  <si>
    <t xml:space="preserve">- Field-level mandatory errors appear for each empty field.
- User stays on /login.
- No successful login; no session created.</t>
  </si>
  <si>
    <t xml:space="preserve">login-form (browser "required" or server validation: capture which)</t>
  </si>
  <si>
    <t xml:space="preserve">Screenshot of field-level errors.</t>
  </si>
  <si>
    <t xml:space="preserve">D, S</t>
  </si>
  <si>
    <t xml:space="preserve">TC-AUTH-004</t>
  </si>
  <si>
    <t xml:space="preserve">AUTH-V04</t>
  </si>
  <si>
    <t xml:space="preserve">Logout clears the session and redirects to login</t>
  </si>
  <si>
    <t xml:space="preserve">R-AUTH-06</t>
  </si>
  <si>
    <t xml:space="preserve">Authorization</t>
  </si>
  <si>
    <t xml:space="preserve">P2</t>
  </si>
  <si>
    <t xml:space="preserve">highest linked risk R-AUTH-06 (score 6)</t>
  </si>
  <si>
    <t xml:space="preserve">Agent is logged in on /dashboard.</t>
  </si>
  <si>
    <t xml:space="preserve">{validAgent}</t>
  </si>
  <si>
    <t xml:space="preserve">1. Log in, then store the session cookie value.
2. Click nav-logout-button.
3. Assert redirect to /login.
4. Navigate to /dashboard (and use browser Back).
5. Open a new request context carrying the pre-logout session cookie and GET /dashboard.</t>
  </si>
  <si>
    <t xml:space="preserve">- Logout lands on /login.
- /dashboard redirects to /login.
- The old session cookie no longer gives access (redirect to /login).</t>
  </si>
  <si>
    <t xml:space="preserve">nav-logout-button; /login; /dashboard</t>
  </si>
  <si>
    <t xml:space="preserve">LoginPage, DashboardPage, apiClient</t>
  </si>
  <si>
    <t xml:space="preserve">Screenshot of /login after back navigation; API status code attached.</t>
  </si>
  <si>
    <t xml:space="preserve">S</t>
  </si>
  <si>
    <t xml:space="preserve">TC-AUTH-005</t>
  </si>
  <si>
    <t xml:space="preserve">AUTH-V05</t>
  </si>
  <si>
    <t xml:space="preserve">Direct access to dashboard without login is blocked</t>
  </si>
  <si>
    <t xml:space="preserve">Smoke test; highest linked risk R-AUTH-06 (score 6)</t>
  </si>
  <si>
    <t xml:space="preserve">Fresh browser context with no storage state.</t>
  </si>
  <si>
    <t xml:space="preserve">None</t>
  </si>
  <si>
    <t xml:space="preserve">1. In a fresh context open /dashboard.
2. Repeat for /applications, /applications/new, /profile, /support.
3. Repeat for /applications/{id}/client using a real application id.</t>
  </si>
  <si>
    <t xml:space="preserve">- Each request ends on /login.
- No protected content is rendered.</t>
  </si>
  <si>
    <t xml:space="preserve">Routes behind auth middleware: /dashboard, /applications, /applications/new, /profile, /support</t>
  </si>
  <si>
    <t xml:space="preserve">Screenshot and final URL for each route.</t>
  </si>
  <si>
    <t xml:space="preserve">TC-AUTH-006</t>
  </si>
  <si>
    <t xml:space="preserve">AUTH-V06</t>
  </si>
  <si>
    <t xml:space="preserve">Locked user cannot access the dashboard</t>
  </si>
  <si>
    <t xml:space="preserve">R-AUTH-02</t>
  </si>
  <si>
    <t xml:space="preserve">SDC-02</t>
  </si>
  <si>
    <t xml:space="preserve">UI + API</t>
  </si>
  <si>
    <t xml:space="preserve">highest linked risk R-AUTH-02 (score 6)</t>
  </si>
  <si>
    <t xml:space="preserve">@regression @api @authentication @SDC-02</t>
  </si>
  <si>
    <t xml:space="preserve">Seeded locked user exists.</t>
  </si>
  <si>
    <t xml:space="preserve">{lockedAgent} = agent.locked@insurance.test with correct password</t>
  </si>
  <si>
    <t xml:space="preserve">1. Sign in through /login as {lockedAgent}.
2. Read the message shown.
3. Try to open /dashboard.
4. POST /api/login with the same credentials.</t>
  </si>
  <si>
    <t xml:space="preserve">- Account-locked message (not the generic invalid-password message). Capture exact text.
- /dashboard is not accessible.
- API returns 403, status "error", message "Account locked", errors.account_status present.</t>
  </si>
  <si>
    <t xml:space="preserve">UI /login message; API POST /api/login (X-API-Key)</t>
  </si>
  <si>
    <t xml:space="preserve">LoginPage, apiClient</t>
  </si>
  <si>
    <t xml:space="preserve">Screenshot of lock message; API response body.</t>
  </si>
  <si>
    <t xml:space="preserve">TC-AUTH-007</t>
  </si>
  <si>
    <t xml:space="preserve">AUTH-V07</t>
  </si>
  <si>
    <t xml:space="preserve">Account locks after five failed login attempts</t>
  </si>
  <si>
    <t xml:space="preserve">R-AUTH-03</t>
  </si>
  <si>
    <t xml:space="preserve">Boundary</t>
  </si>
  <si>
    <t xml:space="preserve">highest linked risk R-AUTH-03 (score 6)</t>
  </si>
  <si>
    <t xml:space="preserve">@regression @api @authentication</t>
  </si>
  <si>
    <t xml:space="preserve">Spare learner-pool account {disposableAgent} on your own VM (confirm with mentor). DESTRUCTIVE. Lock is time-based (locked_until); run LAST in a serial project.</t>
  </si>
  <si>
    <t xml:space="preserve">{disposableAgent} with wrong password x5, then correct password</t>
  </si>
  <si>
    <t xml:space="preserve">1. Attempt 1 to 4 with a wrong password; after each, record the message.
2. Attempt 5 with a wrong password.
3. Attempt 6 with the CORRECT password.
4. Read lock flag through API/DB if available.</t>
  </si>
  <si>
    <t xml:space="preserve">- Attempts 1-4: invalid-credentials message, account not locked.
- Attempt 5: account locked.
- Attempt 6 with the correct password is denied until the lock expires.
- Record lock duration seen (locked_until) for the report.</t>
  </si>
  <si>
    <t xml:space="preserve">login form; users.failed_login_attempts / locked_until (DB columns)</t>
  </si>
  <si>
    <t xml:space="preserve">Screenshot after attempts 4, 5 and 6; run note that user needs reset.</t>
  </si>
  <si>
    <t xml:space="preserve">OI-14</t>
  </si>
  <si>
    <t xml:space="preserve">Needs confirmation</t>
  </si>
  <si>
    <t xml:space="preserve">TC-AUTH-008</t>
  </si>
  <si>
    <t xml:space="preserve">AUTH-V08</t>
  </si>
  <si>
    <t xml:space="preserve">Password policy rejects weak passwords</t>
  </si>
  <si>
    <t xml:space="preserve">R-AUTH-04</t>
  </si>
  <si>
    <t xml:space="preserve">SDC-03</t>
  </si>
  <si>
    <t xml:space="preserve">highest linked risk R-AUTH-04 (score 6)</t>
  </si>
  <si>
    <t xml:space="preserve">@regression @authentication @SDC-03</t>
  </si>
  <si>
    <t xml:space="preserve">Logged in as {disposableAgent}. Only REJECTED values are submitted, so the password is never changed. (No API endpoint exists for password change.)</t>
  </si>
  <si>
    <t xml:space="preserve">TD-PWD-01 table (rule-by-rule weak values)</t>
  </si>
  <si>
    <t xml:space="preserve">1. Open /change-password.
2. For each weak value in TD-PWD-01 enter it as the new password (and matching confirmation) and submit.
3. Read the message(s).
4. Check the strength indicator for a compliant example without submitting it.</t>
  </si>
  <si>
    <t xml:space="preserve">- Every weak value is rejected with the message for the broken rule (12+ chars, upper, lower, digit, one of !@#$%^&amp;*, no email username, no common/sequential pattern, no 3 repeated characters).
- Password is unchanged (original still logs in).</t>
  </si>
  <si>
    <t xml:space="preserve">/change-password: change-password-current, change-password-new, change-password-confirm, change-password-submit, change-password-strength</t>
  </si>
  <si>
    <t xml:space="preserve">Screenshot per rejected value (parameterised report).</t>
  </si>
  <si>
    <t xml:space="preserve">TC-DASH-001</t>
  </si>
  <si>
    <t xml:space="preserve">Dashboard &amp; application summary</t>
  </si>
  <si>
    <t xml:space="preserve">DASH-V01</t>
  </si>
  <si>
    <t xml:space="preserve">Dashboard loads after successful login</t>
  </si>
  <si>
    <t xml:space="preserve">R-DASH-04</t>
  </si>
  <si>
    <t xml:space="preserve">Smoke test; highest linked risk R-DASH-04 (score 4)</t>
  </si>
  <si>
    <t xml:space="preserve">@smoke @regression @dashboard</t>
  </si>
  <si>
    <t xml:space="preserve">Valid agent logged in.</t>
  </si>
  <si>
    <t xml:space="preserve">1. Log in (auth fixture).
2. Open /dashboard.
3. Observe summary cards and application list.</t>
  </si>
  <si>
    <t xml:space="preserve">- Summary cards (draft, submitted, under review, approved, requires info) are visible.
- dashboard-new-application-button is enabled.
- dashboard-applications-table is rendered.</t>
  </si>
  <si>
    <t xml:space="preserve">dashboard-page, dashboard-summary-draft/-submitted/-under-review/-approved/-requires-info, dashboard-new-application-button, dashboard-applications-table</t>
  </si>
  <si>
    <t xml:space="preserve">DashboardPage</t>
  </si>
  <si>
    <t xml:space="preserve">Screenshot of dashboard.</t>
  </si>
  <si>
    <t xml:space="preserve">TC-DASH-002</t>
  </si>
  <si>
    <t xml:space="preserve">DASH-V02</t>
  </si>
  <si>
    <t xml:space="preserve">Agent sees only their own applications</t>
  </si>
  <si>
    <t xml:space="preserve">R-DASH-01</t>
  </si>
  <si>
    <t xml:space="preserve">highest linked risk R-DASH-01 (score 6)</t>
  </si>
  <si>
    <t xml:space="preserve">@regression @api @dashboard</t>
  </si>
  <si>
    <t xml:space="preserve">Two agents each own at least one application.</t>
  </si>
  <si>
    <t xml:space="preserve">{validAgent} (agent.valid) and {agent2} (agent.draft)</t>
  </si>
  <si>
    <t xml:space="preserve">1. Log in as {validAgent}; collect application ids from /applications.
2. Log in as {agent2}; collect ids.
3. Compare the sets.
4. GET /api/applications?agent_email=&lt;each agent&gt; and compare with the UI lists.
5. As {validAgent} open /applications/{id} of an application owned by {agent2}.</t>
  </si>
  <si>
    <t xml:space="preserve">- The two id sets do not overlap.
- UI list equals API list for each agent (same agent_email as the UI user).
- Opening another agent's application in the UI is denied (403).</t>
  </si>
  <si>
    <t xml:space="preserve">application-row-*, application-open-{id}; API GET /api/applications?agent_email=</t>
  </si>
  <si>
    <t xml:space="preserve">DashboardPage, apiClient</t>
  </si>
  <si>
    <t xml:space="preserve">Both ID lists attached to the report.</t>
  </si>
  <si>
    <t xml:space="preserve">TC-DASH-003</t>
  </si>
  <si>
    <t xml:space="preserve">DASH-V03</t>
  </si>
  <si>
    <t xml:space="preserve">New agent sees empty application state</t>
  </si>
  <si>
    <t xml:space="preserve">Functional</t>
  </si>
  <si>
    <t xml:space="preserve">highest linked risk R-DASH-04 (score 4)</t>
  </si>
  <si>
    <t xml:space="preserve">Seeded new agent with no applications.</t>
  </si>
  <si>
    <t xml:space="preserve">{newAgent} = agent.new@insurance.test</t>
  </si>
  <si>
    <t xml:space="preserve">1. Log in as {newAgent}.
2. Observe dashboard.
3. Call GET /api/applications.</t>
  </si>
  <si>
    <t xml:space="preserve">- Empty-state message and Start New Application CTA are shown.
- Draft and submitted counts are zero.
- API returns an empty list.</t>
  </si>
  <si>
    <t xml:space="preserve">dashboard-empty-state; GET /api/applications?agent_email=agent.new@insurance.test</t>
  </si>
  <si>
    <t xml:space="preserve">Screenshot of empty state.</t>
  </si>
  <si>
    <t xml:space="preserve">TC-DASH-004</t>
  </si>
  <si>
    <t xml:space="preserve">DASH-V04</t>
  </si>
  <si>
    <t xml:space="preserve">Draft application can be resumed from the dashboard</t>
  </si>
  <si>
    <t xml:space="preserve">R-DASH-03</t>
  </si>
  <si>
    <t xml:space="preserve">SDC-16</t>
  </si>
  <si>
    <t xml:space="preserve">highest linked risk R-DASH-03 (score 6)</t>
  </si>
  <si>
    <t xml:space="preserve">@regression @dashboard @SDC-16</t>
  </si>
  <si>
    <t xml:space="preserve">A draft exists with known client data (created by the test).</t>
  </si>
  <si>
    <t xml:space="preserve">Draft with first name QA_&lt;runId&gt;, DOB = today - 40y</t>
  </si>
  <si>
    <t xml:space="preserve">1. Create a draft with client data and save it.
2. Return to /dashboard.
3. Click Resume on that draft row.
4. Inspect the client form.</t>
  </si>
  <si>
    <t xml:space="preserve">- The application opened has the same ID as the clicked row.
- Previously entered values are present in the form.
- Status remains Draft.</t>
  </si>
  <si>
    <t xml:space="preserve">application-open-{id}; resume lands on the step stored in current_step</t>
  </si>
  <si>
    <t xml:space="preserve">DashboardPage, ClientInformationPage</t>
  </si>
  <si>
    <t xml:space="preserve">Screenshot of resumed form.</t>
  </si>
  <si>
    <t xml:space="preserve">TC-DASH-005</t>
  </si>
  <si>
    <t xml:space="preserve">DASH-V05</t>
  </si>
  <si>
    <t xml:space="preserve">Application status filter and summary counts work correctly</t>
  </si>
  <si>
    <t xml:space="preserve">Agent with DRAFT and SUBMITTED applications: use {submittedAgent} (agent.submitted) plus a draft created by the test. Approved is out of scope (Q-15).</t>
  </si>
  <si>
    <t xml:space="preserve">1. Read the dashboard summary counts for Draft, Submitted, Requires info.
2. If a filter control exists on /dashboard or /applications, apply Draft then Submitted and read the rows; otherwise note "no UI filter".
3. GET /api/applications?agent_email=...&amp;status=DRAFT and =SUBMITTED.
4. Compare.</t>
  </si>
  <si>
    <t xml:space="preserve">- Summary counts equal the API counts per status.
- Any UI filter shows only rows of the chosen status.
- API ?status= returns only that status.
- If no UI filter exists, record it as an observation against DASH-V05.</t>
  </si>
  <si>
    <t xml:space="preserve">dashboard-summary-*; API GET /api/applications?agent_email=&amp;status=DRAFT|SUBMITTED</t>
  </si>
  <si>
    <t xml:space="preserve">Screenshot per filter state.</t>
  </si>
  <si>
    <t xml:space="preserve">OI-15</t>
  </si>
  <si>
    <t xml:space="preserve">S, V</t>
  </si>
  <si>
    <t xml:space="preserve">TC-DASH-006</t>
  </si>
  <si>
    <t xml:space="preserve">DASH-V06</t>
  </si>
  <si>
    <t xml:space="preserve">Dashboard status matches the application status API</t>
  </si>
  <si>
    <t xml:space="preserve">R-DASH-02</t>
  </si>
  <si>
    <t xml:space="preserve">SDC-18</t>
  </si>
  <si>
    <t xml:space="preserve">Reconciliation</t>
  </si>
  <si>
    <t xml:space="preserve">highest linked risk R-DASH-02 (score 9)</t>
  </si>
  <si>
    <t xml:space="preserve">@regression @api @dashboard @SDC-18</t>
  </si>
  <si>
    <t xml:space="preserve">Agent owns at least one Draft and one Submitted application.</t>
  </si>
  <si>
    <t xml:space="preserve">{learnerUser} (same account used for UI and agent_email)</t>
  </si>
  <si>
    <t xml:space="preserve">1. Log in as {learnerUser}; read application-status-{id} for each row.
2. GET /api/applications?agent_email=&lt;same learner&gt; and GET /api/applications/{id}/status.
3. Compare per id.</t>
  </si>
  <si>
    <t xml:space="preserve">- Dashboard status equals list API status and status API application_status for every id.
- Comparison uses the same agent on both sides.</t>
  </si>
  <si>
    <t xml:space="preserve">application-status-{id}; GET /api/applications?agent_email=; GET /api/applications/{id}/status</t>
  </si>
  <si>
    <t xml:space="preserve">Table of id / UI status / API status attached.</t>
  </si>
  <si>
    <t xml:space="preserve">TC-CLI-001</t>
  </si>
  <si>
    <t xml:space="preserve">Client / insured information</t>
  </si>
  <si>
    <t xml:space="preserve">CLI-V01</t>
  </si>
  <si>
    <t xml:space="preserve">Agent can enter valid insured personal information</t>
  </si>
  <si>
    <t xml:space="preserve">R-CLI-03; R-CLI-05</t>
  </si>
  <si>
    <t xml:space="preserve">Smoke test; highest linked risk R-CLI-05 (score 6)</t>
  </si>
  <si>
    <t xml:space="preserve">@smoke @regression @client</t>
  </si>
  <si>
    <t xml:space="preserve">Logged in as {validAgent}; new application started.</t>
  </si>
  <si>
    <t xml:space="preserve">Applicant age 40; gender MALE/FEMALE/NON_BINARY; marital SINGLE/MARRIED/DIVORCED/WIDOWED; all mandatory fields filled</t>
  </si>
  <si>
    <t xml:space="preserve">1. Log in; open /applications/new and click application-create-draft-button.
2. Fill every client field.
3. Click client-save-continue-button.</t>
  </si>
  <si>
    <t xml:space="preserve">- Redirect to /applications/{id}/address-contact.
- Success message "Client information saved." is shown.
- GET /api/applications/{id}/client returns the entered values.</t>
  </si>
  <si>
    <t xml:space="preserve">client-first-name-input, client-middle-name-input, client-last-name-input, client-dob-input, client-gender-select, client-marital-status-select, client-nationality-input, client-occupation-input, client-employer-name-input, client-employer-address-input, client-save-continue-button</t>
  </si>
  <si>
    <t xml:space="preserve">Screenshot of completed form.</t>
  </si>
  <si>
    <t xml:space="preserve">TC-CLI-002</t>
  </si>
  <si>
    <t xml:space="preserve">CLI-V02</t>
  </si>
  <si>
    <t xml:space="preserve">Mandatory personal fields are validated</t>
  </si>
  <si>
    <t xml:space="preserve">R-CLI-03</t>
  </si>
  <si>
    <t xml:space="preserve">highest linked risk R-CLI-03 (score 4)</t>
  </si>
  <si>
    <t xml:space="preserve">@regression @client</t>
  </si>
  <si>
    <t xml:space="preserve">New application on the client step.</t>
  </si>
  <si>
    <t xml:space="preserve">Mandatory: first name, last name, DOB, gender, marital status, nationality, occupation, employer name, employer address. Middle name is optional.</t>
  </si>
  <si>
    <t xml:space="preserve">1. Fill all fields with valid data.
2. Clear one mandatory field.
3. Try to continue.
4. Repeat for each mandatory field.</t>
  </si>
  <si>
    <t xml:space="preserve">- Inline error appears beside the blank field.
- Next is disabled or blocked.
- Other fields keep their values.</t>
  </si>
  <si>
    <t xml:space="preserve">ClientInformationPage</t>
  </si>
  <si>
    <t xml:space="preserve">Screenshot per field iteration.</t>
  </si>
  <si>
    <t xml:space="preserve">TC-CLI-003</t>
  </si>
  <si>
    <t xml:space="preserve">CLI-V03</t>
  </si>
  <si>
    <t xml:space="preserve">DOB below 18 years is rejected</t>
  </si>
  <si>
    <t xml:space="preserve">R-CLI-01</t>
  </si>
  <si>
    <t xml:space="preserve">SDC-04</t>
  </si>
  <si>
    <t xml:space="preserve">highest linked risk R-CLI-01 (score 9)</t>
  </si>
  <si>
    <t xml:space="preserve">@regression @client @SDC-04</t>
  </si>
  <si>
    <t xml:space="preserve">DOB = today - 18y + 1 day (age 17y 364d)</t>
  </si>
  <si>
    <t xml:space="preserve">1. Enter the underage DOB.
2. Move focus away from the field.
3. Try to continue.</t>
  </si>
  <si>
    <t xml:space="preserve">- Per Functional Modules 3.3 an eligibility error appears at entry; expected text "Client age must be between 18 and 65 years.".
- If the app only raises it on review/validate, record WHERE it appears and log it as an observation for SDC-04.</t>
  </si>
  <si>
    <t xml:space="preserve">client-dob-input; message "Client age must be between 18 and 65 years." (validation summary)</t>
  </si>
  <si>
    <t xml:space="preserve">Screenshot of eligibility error with DOB visible.</t>
  </si>
  <si>
    <t xml:space="preserve">TC-CLI-004</t>
  </si>
  <si>
    <t xml:space="preserve">CLI-V04</t>
  </si>
  <si>
    <t xml:space="preserve">DOB above 65 years is rejected</t>
  </si>
  <si>
    <t xml:space="preserve">DOB = today - 66y</t>
  </si>
  <si>
    <t xml:space="preserve">1. Enter the DOB.
2. Move focus away.
3. Try to continue.</t>
  </si>
  <si>
    <t xml:space="preserve">- Eligibility error "Client age must be between 18 and 65 years." appears at entry (or at the latest in the validation summary: record where).</t>
  </si>
  <si>
    <t xml:space="preserve">client-dob-input; message "Client age must be between 18 and 65 years."</t>
  </si>
  <si>
    <t xml:space="preserve">Screenshot of eligibility error.</t>
  </si>
  <si>
    <t xml:space="preserve">TC-CLI-005</t>
  </si>
  <si>
    <t xml:space="preserve">CLI-V05</t>
  </si>
  <si>
    <t xml:space="preserve">Future date of birth is rejected</t>
  </si>
  <si>
    <t xml:space="preserve">R-CLI-02</t>
  </si>
  <si>
    <t xml:space="preserve">SDC-05</t>
  </si>
  <si>
    <t xml:space="preserve">highest linked risk R-CLI-02 (score 6)</t>
  </si>
  <si>
    <t xml:space="preserve">@regression @client @SDC-05</t>
  </si>
  <si>
    <t xml:space="preserve">DOB = today + 1 day; DOB = today + 10y</t>
  </si>
  <si>
    <t xml:space="preserve">1. Enter tomorrow as DOB.
2. Observe validation.
3. Repeat with today + 10 years.
4. Reload and confirm nothing was saved.</t>
  </si>
  <si>
    <t xml:space="preserve">- Error "Future date of birth is not allowed." appears for both values.
- Nothing is saved (reload shows no future DOB; API GET client shows none).</t>
  </si>
  <si>
    <t xml:space="preserve">client-dob-input; message "Future date of birth is not allowed."</t>
  </si>
  <si>
    <t xml:space="preserve">Screenshot of error.</t>
  </si>
  <si>
    <t xml:space="preserve">TC-CLI-006</t>
  </si>
  <si>
    <t xml:space="preserve">CLI-P01</t>
  </si>
  <si>
    <t xml:space="preserve">Age boundary values 18 and 65 are accepted</t>
  </si>
  <si>
    <t xml:space="preserve">New application on the client step. PROPOSED test (not in source).</t>
  </si>
  <si>
    <t xml:space="preserve">DOB = today - 18y; DOB = today - 65y</t>
  </si>
  <si>
    <t xml:space="preserve">1. Enter DOB for exactly 18 years.
2. Observe validation and continue.
3. Repeat with exactly 65 years.</t>
  </si>
  <si>
    <t xml:space="preserve">- Both DOBs are accepted: the rule is inclusive (error only when age &lt; 18 or &gt; 65).
- review-client-calculated-age shows 18 and 65 respectively.</t>
  </si>
  <si>
    <t xml:space="preserve">client-dob-input; review-client-calculated-age</t>
  </si>
  <si>
    <t xml:space="preserve">Screenshot for both values.</t>
  </si>
  <si>
    <t xml:space="preserve">TC-CLI-007</t>
  </si>
  <si>
    <t xml:space="preserve">CLI-P02</t>
  </si>
  <si>
    <t xml:space="preserve">Age is calculated correctly from the date of birth</t>
  </si>
  <si>
    <t xml:space="preserve">R-CLI-04</t>
  </si>
  <si>
    <t xml:space="preserve">highest linked risk R-CLI-04 (score 4)</t>
  </si>
  <si>
    <t xml:space="preserve">Complete application up to the review page, or read calculated_age through GET /api/applications/{id}.</t>
  </si>
  <si>
    <t xml:space="preserve">Birthday today (age n); birthday tomorrow (age n-1); 29 February DOB</t>
  </si>
  <si>
    <t xml:space="preserve">1. Enter each DOB.
2. Read the displayed age.
3. Compare with age computed in the test from system date.</t>
  </si>
  <si>
    <t xml:space="preserve">- Displayed/stored age equals the age computed by the test from the system date for each DOB.</t>
  </si>
  <si>
    <t xml:space="preserve">review-client-calculated-age (age is displayed on the review page)</t>
  </si>
  <si>
    <t xml:space="preserve">Screenshot per DOB.</t>
  </si>
  <si>
    <t xml:space="preserve">TC-CLI-008</t>
  </si>
  <si>
    <t xml:space="preserve">CLI-P03</t>
  </si>
  <si>
    <t xml:space="preserve">Name and personal field format validation</t>
  </si>
  <si>
    <t xml:space="preserve">New application on the client step. PROPOSED test.</t>
  </si>
  <si>
    <t xml:space="preserve">Names: "12345", "@@@", 101-character string, whitespace only; valid: "Anne-Marie O'Neil"</t>
  </si>
  <si>
    <t xml:space="preserve">1. Enter each invalid value in first and last name.
2. Observe errors.
3. Enter the valid value.</t>
  </si>
  <si>
    <t xml:space="preserve">- Invalid values are rejected with an inline error.
- The valid hyphenated/apostrophe name is accepted.</t>
  </si>
  <si>
    <t xml:space="preserve">Screenshot per value.</t>
  </si>
  <si>
    <t xml:space="preserve">D, V</t>
  </si>
  <si>
    <t xml:space="preserve">TC-ADR-001</t>
  </si>
  <si>
    <t xml:space="preserve">Address &amp; contact</t>
  </si>
  <si>
    <t xml:space="preserve">CLI-V06</t>
  </si>
  <si>
    <t xml:space="preserve">Same-as-residential copies data to mailing address</t>
  </si>
  <si>
    <t xml:space="preserve">R-ADR-01</t>
  </si>
  <si>
    <t xml:space="preserve">highest linked risk R-ADR-01 (score 4)</t>
  </si>
  <si>
    <t xml:space="preserve">@regression @address</t>
  </si>
  <si>
    <t xml:space="preserve">Application on the address and contact step.</t>
  </si>
  <si>
    <t xml:space="preserve">Residential: 10 Main St, New York, NY, 10001</t>
  </si>
  <si>
    <t xml:space="preserve">1. Fill residential address.
2. Tick "same as residential".
3. Compare mailing fields.
4. Edit a residential field.
5. Untick the checkbox.</t>
  </si>
  <si>
    <t xml:space="preserve">- Mailing fields equal residential after ticking.
- Edit residential then save: mailing behaviour matches what is shown (record whether it follows).
- Unticking makes mailing editable.</t>
  </si>
  <si>
    <t xml:space="preserve">residential-address-line-1/2-input, residential-city-input, residential-state-province-select, residential-postal-code-input, address-same-as-residential-checkbox, mailing-* (same ids), contact-primary-email-input, contact-mobile-number-input, contact-alternate-phone-input, contact-preferred-mode-select, address-contact-save-continue-button</t>
  </si>
  <si>
    <t xml:space="preserve">AddressContactPage</t>
  </si>
  <si>
    <t xml:space="preserve">Screenshot after tick and after edit.</t>
  </si>
  <si>
    <t xml:space="preserve">TC-ADR-002</t>
  </si>
  <si>
    <t xml:space="preserve">CLI-V07a</t>
  </si>
  <si>
    <t xml:space="preserve">Invalid email formats are rejected</t>
  </si>
  <si>
    <t xml:space="preserve">R-ADR-02</t>
  </si>
  <si>
    <t xml:space="preserve">highest linked risk R-ADR-02 (score 4)</t>
  </si>
  <si>
    <t xml:space="preserve">TD-EMAIL: "abc", "a@b", "a@@b.com", "a b@c.com"; valid "qa.user@example.com"</t>
  </si>
  <si>
    <t xml:space="preserve">1. Enter each invalid email.
2. Observe validation.
3. Enter the valid email.</t>
  </si>
  <si>
    <t xml:space="preserve">- Each invalid email shows an error and blocks progression.
- Valid email is accepted.</t>
  </si>
  <si>
    <t xml:space="preserve">contact-primary-email-input</t>
  </si>
  <si>
    <t xml:space="preserve">Screenshot per invalid value.</t>
  </si>
  <si>
    <t xml:space="preserve">TC-ADR-003</t>
  </si>
  <si>
    <t xml:space="preserve">CLI-V07b</t>
  </si>
  <si>
    <t xml:space="preserve">Invalid phone formats are rejected</t>
  </si>
  <si>
    <t xml:space="preserve">US phone rule: optional +1, area code and exchange start 2-9, 10 digits. Invalid: 123 | (055) 123-4567 | +44 20 7946 0958 | 555-0100. Valid: (212) 555-0147 | +1 212-555-0147 | 2125550147</t>
  </si>
  <si>
    <t xml:space="preserve">1. Enter each invalid value in mobile and alternate phone.
2. Observe validation.
3. Enter a valid number.</t>
  </si>
  <si>
    <t xml:space="preserve">- Each invalid value shows an error.
- Valid number is accepted.</t>
  </si>
  <si>
    <t xml:space="preserve">contact-mobile-number-input, contact-alternate-phone-input</t>
  </si>
  <si>
    <t xml:space="preserve">TC-ADR-004</t>
  </si>
  <si>
    <t xml:space="preserve">ADR-P01</t>
  </si>
  <si>
    <t xml:space="preserve">Postal code format is validated</t>
  </si>
  <si>
    <t xml:space="preserve">Address step. PROPOSED test.</t>
  </si>
  <si>
    <t xml:space="preserve">US ZIP rule: 5 digits or ZIP+4. Invalid: 1234 | 123456 | ABCDE | 12345-12. Valid: 10001 | 10001-1234. State must be a US state/DC code.</t>
  </si>
  <si>
    <t xml:space="preserve">1. Enter each invalid postal code.
2. Observe validation.
3. Enter a valid one.</t>
  </si>
  <si>
    <t xml:space="preserve">- Invalid codes are rejected; valid code accepted.</t>
  </si>
  <si>
    <t xml:space="preserve">residential-postal-code-input, mailing-postal-code-input, *-state-province-select</t>
  </si>
  <si>
    <t xml:space="preserve">TC-ADR-005</t>
  </si>
  <si>
    <t xml:space="preserve">ADR-P02</t>
  </si>
  <si>
    <t xml:space="preserve">Mailing address is mandatory when not same as residential</t>
  </si>
  <si>
    <t xml:space="preserve">R-ADR-03</t>
  </si>
  <si>
    <t xml:space="preserve">highest linked risk R-ADR-03 (score 2)</t>
  </si>
  <si>
    <t xml:space="preserve">Valid residential; mailing blank</t>
  </si>
  <si>
    <t xml:space="preserve">1. Fill residential.
2. Leave "same as residential" unticked.
3. Leave mailing blank and try to continue.</t>
  </si>
  <si>
    <t xml:space="preserve">- Required mailing fields show errors and progression is blocked.</t>
  </si>
  <si>
    <t xml:space="preserve">mailing-* inputs; message "Residential and mailing addresses are required." (validation summary)</t>
  </si>
  <si>
    <t xml:space="preserve">Screenshot of errors.</t>
  </si>
  <si>
    <t xml:space="preserve">TC-ADR-006</t>
  </si>
  <si>
    <t xml:space="preserve">ADR-P03</t>
  </si>
  <si>
    <t xml:space="preserve">Preferred communication mode is required</t>
  </si>
  <si>
    <t xml:space="preserve">Options: EMAIL, PHONE, MAIL (Postal Mail)</t>
  </si>
  <si>
    <t xml:space="preserve">1. Fill all contact data but leave preferred mode unselected.
2. Try to continue.
3. Select each available mode in turn.</t>
  </si>
  <si>
    <t xml:space="preserve">- Error appears and progression is blocked while unselected.
- Each mode, once selected, is accepted.</t>
  </si>
  <si>
    <t xml:space="preserve">contact-preferred-mode-select</t>
  </si>
  <si>
    <t xml:space="preserve">TC-KYC-001</t>
  </si>
  <si>
    <t xml:space="preserve">KYC, financial &amp; compliance</t>
  </si>
  <si>
    <t xml:space="preserve">CLI-V08</t>
  </si>
  <si>
    <t xml:space="preserve">SSN is masked after entry (all screens and responses)</t>
  </si>
  <si>
    <t xml:space="preserve">R-KYC-01</t>
  </si>
  <si>
    <t xml:space="preserve">SDC-07</t>
  </si>
  <si>
    <t xml:space="preserve">highest linked risk R-KYC-01 (score 9)</t>
  </si>
  <si>
    <t xml:space="preserve">@regression @api @kyc @SDC-07</t>
  </si>
  <si>
    <t xml:space="preserve">Application on the KYC step.</t>
  </si>
  <si>
    <t xml:space="preserve">ID type SSN; value 123-45-6789 (fake)</t>
  </si>
  <si>
    <t xml:space="preserve">1. Enter the SSN and leave the field.
2. Read the displayed value.
3. Continue, then return to the field.
4. Open the review page and confirmation (if reachable).
5. Inspect network responses carrying the client/KYC data for the full SSN string.</t>
  </si>
  <si>
    <t xml:space="preserve">- After save only the last four digits are readable: pattern ******* + 6789 (all characters but the last 4 replaced by *, whitespace removed).
- Full SSN is not in page text, screenshots, or API responses (only id_number_masked and a hash are returned).
- Q-18 was not answered: this pattern is derived from the app and must be confirmed in the UI.</t>
  </si>
  <si>
    <t xml:space="preserve">kyc-id-type-select, kyc-id-number-input, kyc-issue-date-input, kyc-expiry-date-input, financial-annual-income-input, financial-net-worth-input, financial-source-of-funds-select, financial-risk-profile-select, compliance-pep-select, compliance-pep-details-input, compliance-declaration-checkbox, kyc-financial-save-continue-button; masked value also on review page; API GET /api/applications/{id}</t>
  </si>
  <si>
    <t xml:space="preserve">KycFinancialPage, ReviewPage, apiClient</t>
  </si>
  <si>
    <t xml:space="preserve">Screenshots of each screen; network response excerpt with SSN redacted.</t>
  </si>
  <si>
    <t xml:space="preserve">OI-13</t>
  </si>
  <si>
    <t xml:space="preserve">TC-KYC-002</t>
  </si>
  <si>
    <t xml:space="preserve">CLI-V09</t>
  </si>
  <si>
    <t xml:space="preserve">KYC upload rejects unsupported file type</t>
  </si>
  <si>
    <t xml:space="preserve">R-DOC-01</t>
  </si>
  <si>
    <t xml:space="preserve">highest linked risk R-DOC-01 (score 4)</t>
  </si>
  <si>
    <t xml:space="preserve">@regression @kyc</t>
  </si>
  <si>
    <t xml:space="preserve">Documents page. In this build the KYC upload control is on /documents, not on the KYC form.</t>
  </si>
  <si>
    <t xml:space="preserve">invalid.exe, invalid.txt (generated); document type KYC_ID</t>
  </si>
  <si>
    <t xml:space="preserve">1. Upload invalid.exe.
2. Upload invalid.txt.
3. Check the document list.</t>
  </si>
  <si>
    <t xml:space="preserve">- Message "Unsupported document format. Accepted formats are PDF, JPG, and PNG." is shown for each.
- No row appears in documents-table.</t>
  </si>
  <si>
    <t xml:space="preserve">/applications/{id}/documents: document-type-select = KYC_ID, document-upload-kyc (file), document-upload-button</t>
  </si>
  <si>
    <t xml:space="preserve">KycFinancialPage, fileUploadHelper</t>
  </si>
  <si>
    <t xml:space="preserve">S, M</t>
  </si>
  <si>
    <t xml:space="preserve">TC-KYC-003</t>
  </si>
  <si>
    <t xml:space="preserve">CLI-V10</t>
  </si>
  <si>
    <t xml:space="preserve">PEP = Yes requires additional details</t>
  </si>
  <si>
    <t xml:space="preserve">R-KYC-05</t>
  </si>
  <si>
    <t xml:space="preserve">highest linked risk R-KYC-05 (score 6)</t>
  </si>
  <si>
    <t xml:space="preserve">Application on the compliance section.</t>
  </si>
  <si>
    <t xml:space="preserve">PEP = Yes with and without details</t>
  </si>
  <si>
    <t xml:space="preserve">1. Select PEP = No and observe.
2. Select PEP = Yes.
3. Leave details blank and try to continue.
4. Enter details and continue.</t>
  </si>
  <si>
    <t xml:space="preserve">- Details field is hidden for No and shown for Yes.
- Blank details block progression with an error.
- Valid details are accepted.</t>
  </si>
  <si>
    <t xml:space="preserve">compliance-pep-select (0/1), compliance-pep-details-input</t>
  </si>
  <si>
    <t xml:space="preserve">KycFinancialPage</t>
  </si>
  <si>
    <t xml:space="preserve">Screenshot of details field and error.</t>
  </si>
  <si>
    <t xml:space="preserve">TC-KYC-004</t>
  </si>
  <si>
    <t xml:space="preserve">KYC-P01</t>
  </si>
  <si>
    <t xml:space="preserve">Income versus premium affordability is validated</t>
  </si>
  <si>
    <t xml:space="preserve">R-KYC-03</t>
  </si>
  <si>
    <t xml:space="preserve">SDC-08</t>
  </si>
  <si>
    <t xml:space="preserve">highest linked risk R-KYC-03 (score 9)</t>
  </si>
  <si>
    <t xml:space="preserve">@regression @api @kyc @SDC-08</t>
  </si>
  <si>
    <t xml:space="preserve">Client step done. PROPOSED test.</t>
  </si>
  <si>
    <t xml:space="preserve">SecureLife (WL_SECURE_BASIC), face 250,000, monthly: annual premium 1,187.50. Income 5,000 (limit 1,000 = 20%) must fail; income 50,000 (limit 10,000) must pass. See Test_Data premium calculator.</t>
  </si>
  <si>
    <t xml:space="preserve">1. Enter a low annual income on the KYC step.
2. Configure a product with a high premium.
3. Run validation / proceed to review.
4. Repeat with adequate income.</t>
  </si>
  <si>
    <t xml:space="preserve">- Low-income case: "Premium exceeds affordability threshold." appears on validate/review.
- Adequate income: no affordability message.
- POST /api/applications/{id}/validate returns the same finding.
- Confirm in the UI that the rule compares ANNUAL premium with 20% of annual income.</t>
  </si>
  <si>
    <t xml:space="preserve">kyc-id-type-select, kyc-id-number-input, kyc-issue-date-input, kyc-expiry-date-input, financial-annual-income-input, financial-net-worth-input, financial-source-of-funds-select, financial-risk-profile-select, compliance-pep-select, compliance-pep-details-input, compliance-declaration-checkbox, kyc-financial-save-continue-button; message "Premium exceeds affordability threshold." (review/validate)</t>
  </si>
  <si>
    <t xml:space="preserve">KycFinancialPage, ProductConfigurationPage, apiClient</t>
  </si>
  <si>
    <t xml:space="preserve">Screenshot of warning; validate API response.</t>
  </si>
  <si>
    <t xml:space="preserve">OI-11</t>
  </si>
  <si>
    <t xml:space="preserve">TC-KYC-005</t>
  </si>
  <si>
    <t xml:space="preserve">KYC-P02</t>
  </si>
  <si>
    <t xml:space="preserve">ID number validation changes with ID type</t>
  </si>
  <si>
    <t xml:space="preserve">R-KYC-04</t>
  </si>
  <si>
    <t xml:space="preserve">highest linked risk R-KYC-04 (score 4)</t>
  </si>
  <si>
    <t xml:space="preserve">KYC step. PROPOSED test.</t>
  </si>
  <si>
    <t xml:space="preserve">TD-ID: for each ID type, one invalid and one valid sample [V]</t>
  </si>
  <si>
    <t xml:space="preserve">1. Select an ID type.
2. Enter an invalid ID number and observe.
3. Enter a valid number.
4. Switch ID type and observe that rules change.</t>
  </si>
  <si>
    <t xml:space="preserve">- Invalid numbers are rejected per type; valid ones accepted.
- Changing type re-validates the entered number.</t>
  </si>
  <si>
    <t xml:space="preserve">kyc-id-type-select options: SSN, STATE_ID, PASSPORT, DRIVERS_LICENSE; kyc-id-number-input</t>
  </si>
  <si>
    <t xml:space="preserve">Screenshot per ID type.</t>
  </si>
  <si>
    <t xml:space="preserve">TC-KYC-006</t>
  </si>
  <si>
    <t xml:space="preserve">KYC-P03</t>
  </si>
  <si>
    <t xml:space="preserve">Incomplete compliance declaration blocks progression</t>
  </si>
  <si>
    <t xml:space="preserve">@regression @api @kyc</t>
  </si>
  <si>
    <t xml:space="preserve">Compliance declaration left unanswered</t>
  </si>
  <si>
    <t xml:space="preserve">1. Complete KYC and financial data but leave the compliance declaration incomplete.
2. Try to continue.
3. Call POST .../validate.
4. Complete the declaration.</t>
  </si>
  <si>
    <t xml:space="preserve">- Progression is blocked with an error.
- Validate API reports the missing declaration.
- After completion progression is allowed.</t>
  </si>
  <si>
    <t xml:space="preserve">compliance-declaration-checkbox; message "Compliance declarations must be completed."</t>
  </si>
  <si>
    <t xml:space="preserve">KycFinancialPage, apiClient</t>
  </si>
  <si>
    <t xml:space="preserve">Screenshot; validate API response.</t>
  </si>
  <si>
    <t xml:space="preserve">TC-PROD-001</t>
  </si>
  <si>
    <t xml:space="preserve">Product selection &amp; policy config</t>
  </si>
  <si>
    <t xml:space="preserve">PROD-V01</t>
  </si>
  <si>
    <t xml:space="preserve">Product catalog displays the expected Whole Life products</t>
  </si>
  <si>
    <t xml:space="preserve">R-PROD-05</t>
  </si>
  <si>
    <t xml:space="preserve">Smoke test; highest linked risk R-PROD-05 (score 4)</t>
  </si>
  <si>
    <t xml:space="preserve">@smoke @regression @api @product</t>
  </si>
  <si>
    <t xml:space="preserve">Logged in; client steps completed or /products reachable.</t>
  </si>
  <si>
    <t xml:space="preserve">5 active products: WL_SECURE_BASIC, WL_WEALTH_BUILDER, WL_ELITE_LEGACY, WL_FLEXI_PAY, WL_GUARANTEED_RETURN</t>
  </si>
  <si>
    <t xml:space="preserve">1. Open /products.
2. Count and read product cards and names.
3. Call GET /api/products.
4. Compare.</t>
  </si>
  <si>
    <t xml:space="preserve">- 5 product cards, one per code above (UI order: by product name).
- Names and codes equal /api/products.</t>
  </si>
  <si>
    <t xml:space="preserve">/products: product-card-{code}, product-details-{code}; GET /api/products</t>
  </si>
  <si>
    <t xml:space="preserve">ProductCatalogPage, apiClient</t>
  </si>
  <si>
    <t xml:space="preserve">Screenshot of catalog; list of names compared.</t>
  </si>
  <si>
    <t xml:space="preserve">TC-PROD-002</t>
  </si>
  <si>
    <t xml:space="preserve">PROD-V02</t>
  </si>
  <si>
    <t xml:space="preserve">Product details page opens correctly</t>
  </si>
  <si>
    <t xml:space="preserve">R-PROD-05; R-PROD-06</t>
  </si>
  <si>
    <t xml:space="preserve">highest linked risk R-PROD-06 (score 4)</t>
  </si>
  <si>
    <t xml:space="preserve">@regression @product</t>
  </si>
  <si>
    <t xml:space="preserve">Catalog visible.</t>
  </si>
  <si>
    <t xml:space="preserve">Coverage term options WHOLE_LIFE and TO_AGE_100; payment term in years (1-100)</t>
  </si>
  <si>
    <t xml:space="preserve">1. Click a product.
2. Check URL /products/:productId.
3. Read features, eligibility, coverage limits and benefits.
4. Open payment-term and policy-term options on the configuration step.</t>
  </si>
  <si>
    <t xml:space="preserve">- Details page opens with features, eligibility, coverage limits and benefits visible.
- Payment and policy term options match the product rules (values from Test Data Guide).</t>
  </si>
  <si>
    <t xml:space="preserve">product-detail-page, product-name, product-code, product-features; product-payment-term-select, product-coverage-term-select</t>
  </si>
  <si>
    <t xml:space="preserve">ProductCatalogPage, ProductConfigurationPage</t>
  </si>
  <si>
    <t xml:space="preserve">Screenshot of details page.</t>
  </si>
  <si>
    <t xml:space="preserve">TC-PROD-003</t>
  </si>
  <si>
    <t xml:space="preserve">PROD-V03</t>
  </si>
  <si>
    <t xml:space="preserve">Face value below minimum is rejected</t>
  </si>
  <si>
    <t xml:space="preserve">R-PROD-02</t>
  </si>
  <si>
    <t xml:space="preserve">highest linked risk R-PROD-02 (score 6)</t>
  </si>
  <si>
    <t xml:space="preserve">@regression @api @product</t>
  </si>
  <si>
    <t xml:space="preserve">Product selected; configuration step.</t>
  </si>
  <si>
    <t xml:space="preserve">Face value limits (min/max): SecureLife 100,000/1,000,000; WealthBuilder 150,000/1,500,000; Elite Legacy 500,000/5,000,000; FlexiPay 100,000/1,200,000; Guaranteed Return 200,000/2,000,000. Use SecureLife: 99,999 (reject) and 100,000 (accept); repeat for each product.</t>
  </si>
  <si>
    <t xml:space="preserve">1. Enter face value = minimum - 1.
2. Observe validation.
3. Enter face value = minimum.
4. Repeat through the API if an endpoint exists.</t>
  </si>
  <si>
    <t xml:space="preserve">- Below-minimum value shows an error and blocks progression.
- Minimum value is accepted.</t>
  </si>
  <si>
    <t xml:space="preserve">product-sum-assured-input, product-range-help</t>
  </si>
  <si>
    <t xml:space="preserve">ProductConfigurationPage, apiClient</t>
  </si>
  <si>
    <t xml:space="preserve">TC-PROD-004</t>
  </si>
  <si>
    <t xml:space="preserve">PROD-V04</t>
  </si>
  <si>
    <t xml:space="preserve">Face value above maximum is rejected</t>
  </si>
  <si>
    <t xml:space="preserve">Face value limits (min/max): SecureLife 100,000/1,000,000; WealthBuilder 150,000/1,500,000; Elite Legacy 500,000/5,000,000; FlexiPay 100,000/1,200,000; Guaranteed Return 200,000/2,000,000. Use SecureLife: 1,000,001 (reject) and 1,000,000 (accept); repeat for each product.</t>
  </si>
  <si>
    <t xml:space="preserve">1. Enter face value = maximum + 1.
2. Observe validation.
3. Enter face value = maximum.</t>
  </si>
  <si>
    <t xml:space="preserve">- Above-maximum value shows an error and blocks progression.
- Maximum value is accepted.</t>
  </si>
  <si>
    <t xml:space="preserve">TC-PROD-005</t>
  </si>
  <si>
    <t xml:space="preserve">PROD-V05</t>
  </si>
  <si>
    <t xml:space="preserve">Premium recalculates when premium frequency changes</t>
  </si>
  <si>
    <t xml:space="preserve">R-PROD-03</t>
  </si>
  <si>
    <t xml:space="preserve">SDC-12</t>
  </si>
  <si>
    <t xml:space="preserve">highest linked risk R-PROD-03 (score 9)</t>
  </si>
  <si>
    <t xml:space="preserve">@regression @api @product @SDC-12</t>
  </si>
  <si>
    <t xml:space="preserve">Product selected with a valid face value.</t>
  </si>
  <si>
    <t xml:space="preserve">Formula: annual = face/1000 x product rate; period premium = annual / 12, 4, 2 or 1, rounded to 2 decimals. SecureLife (4.75), face 250,000: 98.96 monthly, 296.88 quarterly, 593.75 semi-annual, 1,187.50 annual (tolerance 0.01). See Test_Data calculator.</t>
  </si>
  <si>
    <t xml:space="preserve">1. Set a face value.
2. Select each frequency in turn and read the premium.
3. Change the face value and read again.
4. Compare each UI premium with the API value for the application.</t>
  </si>
  <si>
    <t xml:space="preserve">- Premium changes with each frequency and face value as per the formula.
- UI value equals the expected value and the API/total premium after save.</t>
  </si>
  <si>
    <t xml:space="preserve">product-premium-frequency-select (MONTHLY, QUARTERLY, SEMI_ANNUAL, ANNUAL), product-current-total-premium, premium-preview-help</t>
  </si>
  <si>
    <t xml:space="preserve">Table of inputs / UI premium / API premium.</t>
  </si>
  <si>
    <t xml:space="preserve">TC-PROD-006</t>
  </si>
  <si>
    <t xml:space="preserve">PROD-V06</t>
  </si>
  <si>
    <t xml:space="preserve">Premium on review page matches configuration page</t>
  </si>
  <si>
    <t xml:space="preserve">R-PROD-04</t>
  </si>
  <si>
    <t xml:space="preserve">highest linked risk R-PROD-04 (score 6)</t>
  </si>
  <si>
    <t xml:space="preserve">Application configured through the product step.</t>
  </si>
  <si>
    <t xml:space="preserve">Face value F, frequency Monthly, optional ADB rider</t>
  </si>
  <si>
    <t xml:space="preserve">1. Capture premium on the configuration page.
2. Navigate to the review page.
3. Capture the premium shown.
4. Return, change face value, review again.</t>
  </si>
  <si>
    <t xml:space="preserve">- Review premium equals configuration premium after each change.
- Matches API premium.</t>
  </si>
  <si>
    <t xml:space="preserve">product-current-total-premium, review-total-premium, application-total-premium</t>
  </si>
  <si>
    <t xml:space="preserve">ProductConfigurationPage, ReviewPage</t>
  </si>
  <si>
    <t xml:space="preserve">Both premium values attached.</t>
  </si>
  <si>
    <t xml:space="preserve">TC-PROD-007</t>
  </si>
  <si>
    <t xml:space="preserve">PROD-V07</t>
  </si>
  <si>
    <t xml:space="preserve">Product suitability warning appears on mismatch</t>
  </si>
  <si>
    <t xml:space="preserve">R-PROD-01</t>
  </si>
  <si>
    <t xml:space="preserve">SDC-09</t>
  </si>
  <si>
    <t xml:space="preserve">highest linked risk R-PROD-01 (score 9)</t>
  </si>
  <si>
    <t xml:space="preserve">@regression @api @product @SDC-09</t>
  </si>
  <si>
    <t xml:space="preserve">Client risk profile and age set to an unsuitable combination (per Test Data Guide).</t>
  </si>
  <si>
    <t xml:space="preserve">Client age 19 with WealthBuilder (min 21); client age 63 with Guaranteed Return (max 55) / FlexiPay (max 62); risk-profile mismatch text to be captured [V]</t>
  </si>
  <si>
    <t xml:space="preserve">1. Set the unsuitable profile on the KYC step.
2. Select the product.
3. Observe warning.
4. Call POST .../validate.
5. Repeat with a suitable profile.</t>
  </si>
  <si>
    <t xml:space="preserve">- A suitability / eligibility warning or error is shown for age outside the product range.
- POST /api/applications/{id}/validate reports the same.
- An in-range client shows no such message.
- Capture the exact warning text; the risk-profile suitability rule is not stated in the docs.</t>
  </si>
  <si>
    <t xml:space="preserve">Product eligibility ages (min-max): SecureLife 18-65; WealthBuilder 21-60; Elite 30-65; FlexiPay 18-62; Guaranteed Return 25-55</t>
  </si>
  <si>
    <t xml:space="preserve">Screenshot of warning; validate response.</t>
  </si>
  <si>
    <t xml:space="preserve">TC-RID-001</t>
  </si>
  <si>
    <t xml:space="preserve">Rider selection</t>
  </si>
  <si>
    <t xml:space="preserve">RIDER-V01</t>
  </si>
  <si>
    <t xml:space="preserve">Agent can add an eligible protection rider (ADB)</t>
  </si>
  <si>
    <t xml:space="preserve">R-RID-05</t>
  </si>
  <si>
    <t xml:space="preserve">highest linked risk R-RID-05 (score 6)</t>
  </si>
  <si>
    <t xml:space="preserve">@regression @rider</t>
  </si>
  <si>
    <t xml:space="preserve">Policy configured; client eligible.</t>
  </si>
  <si>
    <t xml:space="preserve">RIDER_ADB (Accidental Death Benefit, protection) with coverage = face value 250,000: rate 0.85 per 1,000 = 212.50/year (17.71 monthly)</t>
  </si>
  <si>
    <t xml:space="preserve">1. Open the riders step.
2. Select ADB.
3. Enter valid coverage.
4. Open the premium summary.</t>
  </si>
  <si>
    <t xml:space="preserve">- Rider appears in the premium summary.
- Total premium increases by the itemised rider premium.</t>
  </si>
  <si>
    <t xml:space="preserve">riders-page, rider-selected-{id}, rider-coverage-amount-{id}, rider-row-{id}, rider-premium-summary, rider-save-continue-button; GET /api/riders</t>
  </si>
  <si>
    <t xml:space="preserve">RiderSelectionPage</t>
  </si>
  <si>
    <t xml:space="preserve">Screenshot of summary.</t>
  </si>
  <si>
    <t xml:space="preserve">TC-RID-002</t>
  </si>
  <si>
    <t xml:space="preserve">RIDER-V02</t>
  </si>
  <si>
    <t xml:space="preserve">Rider coverage cannot exceed base policy face value</t>
  </si>
  <si>
    <t xml:space="preserve">R-RID-01</t>
  </si>
  <si>
    <t xml:space="preserve">SDC-10</t>
  </si>
  <si>
    <t xml:space="preserve">highest linked risk R-RID-01 (score 9)</t>
  </si>
  <si>
    <t xml:space="preserve">@regression @api @rider @SDC-10</t>
  </si>
  <si>
    <t xml:space="preserve">Policy face value F configured.</t>
  </si>
  <si>
    <t xml:space="preserve">Face value F; rider coverage F + 1 must be rejected, F accepted. Capped riders: Critical Illness max 500,000; Hospital Cash 100,000 (fixed); Family Income 750,000; Guaranteed Income 500,000</t>
  </si>
  <si>
    <t xml:space="preserve">1. Select a rider.
2. Enter coverage F + 1.
3. Observe validation.
4. Enter coverage F.
5. Attempt the same through the API.</t>
  </si>
  <si>
    <t xml:space="preserve">- Coverage above F is rejected with an error and progression blocked.
- Coverage equal to F is accepted (if rule is &lt;=).
- API rejects the above-limit request.</t>
  </si>
  <si>
    <t xml:space="preserve">RiderSelectionPage, apiClient</t>
  </si>
  <si>
    <t xml:space="preserve">Screenshot of error; API response.</t>
  </si>
  <si>
    <t xml:space="preserve">TC-RID-003</t>
  </si>
  <si>
    <t xml:space="preserve">RIDER-V03</t>
  </si>
  <si>
    <t xml:space="preserve">Age-ineligible rider cannot be added</t>
  </si>
  <si>
    <t xml:space="preserve">R-RID-03</t>
  </si>
  <si>
    <t xml:space="preserve">highest linked risk R-RID-03 (score 6)</t>
  </si>
  <si>
    <t xml:space="preserve">@regression @api @rider</t>
  </si>
  <si>
    <t xml:space="preserve">Client age outside the rider age range.</t>
  </si>
  <si>
    <t xml:space="preserve">Max riders per application: 4. Rider age ranges: ADB 18-65; Disability 18-60; Term Add-on 21-55; Critical Illness 18-58; Hospital Cash 18-60; Waiver Disability 18-55; Waiver CI 18-55; Family Income 25-55; Guaranteed Income 30-60. Use client age 62: Disability, Term Add-on, Critical Illness, Hospital Cash must be ineligible; ADB eligible.</t>
  </si>
  <si>
    <t xml:space="preserve">1. Open riders step for an ineligible client.
2. Try to select the rider.
3. Attempt via API.</t>
  </si>
  <si>
    <t xml:space="preserve">- Rider is disabled or an eligibility error is displayed.
- API rejects the add.</t>
  </si>
  <si>
    <t xml:space="preserve">Screenshot of disabled state.</t>
  </si>
  <si>
    <t xml:space="preserve">TC-RID-004</t>
  </si>
  <si>
    <t xml:space="preserve">RIDER-V04</t>
  </si>
  <si>
    <t xml:space="preserve">Maximum rider count is enforced</t>
  </si>
  <si>
    <t xml:space="preserve">R-RID-04</t>
  </si>
  <si>
    <t xml:space="preserve">highest linked risk R-RID-04 (score 4)</t>
  </si>
  <si>
    <t xml:space="preserve">Eligible client; several eligible riders available.</t>
  </si>
  <si>
    <t xml:space="preserve">Max riders per application: 4. Rider age ranges: ADB 18-65; Disability 18-60; Term Add-on 21-55; Critical Illness 18-58; Hospital Cash 18-60; Waiver Disability 18-55; Waiver CI 18-55; Family Income 25-55; Guaranteed Income 30-60. Face value 500,000, client age 40: select 4 eligible riders (accepted), then a 5th (blocked).</t>
  </si>
  <si>
    <t xml:space="preserve">1. Add riders one by one up to N.
2. Try to add rider N + 1.</t>
  </si>
  <si>
    <t xml:space="preserve">- Rider N + 1 is blocked with a message.
- Existing N riders remain unchanged.</t>
  </si>
  <si>
    <t xml:space="preserve">Screenshot of blocking message.</t>
  </si>
  <si>
    <t xml:space="preserve">TC-RID-005</t>
  </si>
  <si>
    <t xml:space="preserve">RIDER-V05</t>
  </si>
  <si>
    <t xml:space="preserve">Mutually exclusive waiver riders cannot both be selected</t>
  </si>
  <si>
    <t xml:space="preserve">R-RID-02</t>
  </si>
  <si>
    <t xml:space="preserve">SDC-11</t>
  </si>
  <si>
    <t xml:space="preserve">highest linked risk R-RID-02 (score 6)</t>
  </si>
  <si>
    <t xml:space="preserve">@regression @api @rider @SDC-11</t>
  </si>
  <si>
    <t xml:space="preserve">Both waiver riders available for the client.</t>
  </si>
  <si>
    <t xml:space="preserve">Mutually exclusive group WAIVER_PREMIUM: RIDER_WAIVER_DISABILITY and RIDER_WAIVER_CI (both need base face value &gt;= 200,000).</t>
  </si>
  <si>
    <t xml:space="preserve">1. Select waiver A.
2. Try to select waiver B.
3. Deselect A and select B.
4. Attempt both together through the API.</t>
  </si>
  <si>
    <t xml:space="preserve">- Waiver B is disabled or blocked while A is selected.
- After deselecting A, B can be selected.
- API rejects both together.</t>
  </si>
  <si>
    <t xml:space="preserve">Screenshot of blocked state.</t>
  </si>
  <si>
    <t xml:space="preserve">TC-RID-006</t>
  </si>
  <si>
    <t xml:space="preserve">RIDER-V06</t>
  </si>
  <si>
    <t xml:space="preserve">Critical illness rider triggers the health questionnaire</t>
  </si>
  <si>
    <t xml:space="preserve">R-RID-06</t>
  </si>
  <si>
    <t xml:space="preserve">highest linked risk R-RID-06 (score 4)</t>
  </si>
  <si>
    <t xml:space="preserve">Riders step.</t>
  </si>
  <si>
    <t xml:space="preserve">Riders flagged health questionnaire: RIDER_CRITICAL_ILLNESS, RIDER_WAIVER_CI</t>
  </si>
  <si>
    <t xml:space="preserve">1. Select the CI rider.
2. Observe the page.
3. Try to continue with the questionnaire blank.
4. Deselect the rider.</t>
  </si>
  <si>
    <t xml:space="preserve">- Per Functional Modules 3.5 a health questionnaire section appears for these riders. If the UI shows none, record it as an observation (candidate defect) rather than failing silently.</t>
  </si>
  <si>
    <t xml:space="preserve">riders-page, rider-selected-{id}, rider-coverage-amount-{id}, rider-row-{id}, rider-premium-summary, rider-save-continue-button; GET /api/riders (no questionnaire test id in markup: capture selector at first run)</t>
  </si>
  <si>
    <t xml:space="preserve">Screenshot of questionnaire.</t>
  </si>
  <si>
    <t xml:space="preserve">TC-RID-007</t>
  </si>
  <si>
    <t xml:space="preserve">RIDER-V07</t>
  </si>
  <si>
    <t xml:space="preserve">Rider premium is itemized in total premium</t>
  </si>
  <si>
    <t xml:space="preserve">@regression @api @rider @SDC-12</t>
  </si>
  <si>
    <t xml:space="preserve">Base policy configured.</t>
  </si>
  <si>
    <t xml:space="preserve">Rider premium = coverage/1000 x rider rate (ADB 0.85, Disability 1.10, Term 1.25, CI 1.60, Hospital 0.65, Waiver Dis 0.70, Waiver CI 0.90, Family 1.35, Guaranteed 1.50)</t>
  </si>
  <si>
    <t xml:space="preserve">1. Note base premium.
2. Add a rider and read itemised premium and total.
3. Remove the rider.
4. Compare with API.</t>
  </si>
  <si>
    <t xml:space="preserve">- Total = base + sum of itemised rider premiums.
- Removing a rider restores the previous total.
- UI equals API.</t>
  </si>
  <si>
    <t xml:space="preserve">rider-premium-summary, product-current-total-premium</t>
  </si>
  <si>
    <t xml:space="preserve">Premium table attached.</t>
  </si>
  <si>
    <t xml:space="preserve">TC-BEN-001</t>
  </si>
  <si>
    <t xml:space="preserve">Beneficiary management</t>
  </si>
  <si>
    <t xml:space="preserve">BEN-V01</t>
  </si>
  <si>
    <t xml:space="preserve">Add a valid primary beneficiary (and irrevocable confirmation)</t>
  </si>
  <si>
    <t xml:space="preserve">R-BEN-04; R-BEN-06</t>
  </si>
  <si>
    <t xml:space="preserve">Smoke test; highest linked risk R-BEN-06 (score 6)</t>
  </si>
  <si>
    <t xml:space="preserve">@smoke @regression @beneficiary</t>
  </si>
  <si>
    <t xml:space="preserve">Beneficiaries step.</t>
  </si>
  <si>
    <t xml:space="preserve">Individual adult beneficiary, relationship Spouse, allocation 100%</t>
  </si>
  <si>
    <t xml:space="preserve">1. Open the beneficiaries step.
2. Fill the form and save.
3. Observe the list and running total.
4. Extension: mark the beneficiary Irrevocable and observe the modal; cancel then accept.</t>
  </si>
  <si>
    <t xml:space="preserve">- Beneficiary card/row appears with entered values.
- Primary running total shows 100%.
- Irrevocable selection opens the legal confirmation modal; Cancel leaves it unchecked; Accept applies it.</t>
  </si>
  <si>
    <t xml:space="preserve">beneficiary-level-select (PRIMARY/SECONDARY), beneficiary-type-select (INDIVIDUAL/TRUST/ORGANIZATION), beneficiary-relationship-select (SPOUSE, CHILD, PARENT, SIBLING, TRUST, ORGANIZATION, OTHER), beneficiary-first-name/last-name/dob/allocation-input, beneficiary-designation-select (0 revocable / 1 irrevocable), beneficiary-legal-acknowledgement-checkbox, beneficiary-allocation-summary, beneficiary-error-summary, beneficiary-row-{id}, beneficiary-edit-{id}, beneficiary-delete-{id}, beneficiary-continue-button</t>
  </si>
  <si>
    <t xml:space="preserve">BeneficiaryPage</t>
  </si>
  <si>
    <t xml:space="preserve">Screenshot of list and modal.</t>
  </si>
  <si>
    <t xml:space="preserve">TC-BEN-002</t>
  </si>
  <si>
    <t xml:space="preserve">BEN-V02</t>
  </si>
  <si>
    <t xml:space="preserve">Primary allocation below 100% blocks progression</t>
  </si>
  <si>
    <t xml:space="preserve">R-BEN-01</t>
  </si>
  <si>
    <t xml:space="preserve">SDC-13</t>
  </si>
  <si>
    <t xml:space="preserve">highest linked risk R-BEN-01 (score 9)</t>
  </si>
  <si>
    <t xml:space="preserve">@regression @beneficiary @SDC-13</t>
  </si>
  <si>
    <t xml:space="preserve">Primary 60% + 30% = 90%</t>
  </si>
  <si>
    <t xml:space="preserve">1. Add two primary beneficiaries totalling 90%.
2. Observe errors.
3. Try to continue.
4. Adjust to 100%.</t>
  </si>
  <si>
    <t xml:space="preserve">- Allocation error is shown and progression is blocked.
- At 100% the error clears.</t>
  </si>
  <si>
    <t xml:space="preserve">beneficiary-allocation-summary, beneficiary-error-summary, beneficiary-allocation-input</t>
  </si>
  <si>
    <t xml:space="preserve">Screenshot of error and running total.</t>
  </si>
  <si>
    <t xml:space="preserve">TC-BEN-003</t>
  </si>
  <si>
    <t xml:space="preserve">BEN-V03</t>
  </si>
  <si>
    <t xml:space="preserve">Primary allocation above 100% blocks progression</t>
  </si>
  <si>
    <t xml:space="preserve">Primary 60% + 50% = 110%</t>
  </si>
  <si>
    <t xml:space="preserve">1. Add two primary beneficiaries totalling 110%.
2. Observe errors.
3. Try to continue.</t>
  </si>
  <si>
    <t xml:space="preserve">- Over-allocation error is shown and progression is blocked.</t>
  </si>
  <si>
    <t xml:space="preserve">TC-BEN-004</t>
  </si>
  <si>
    <t xml:space="preserve">BEN-V04</t>
  </si>
  <si>
    <t xml:space="preserve">Secondary allocation is validated separately</t>
  </si>
  <si>
    <t xml:space="preserve">Beneficiaries step with primary at 100%.</t>
  </si>
  <si>
    <t xml:space="preserve">Secondary 50% + 30% = 80%, then 100%</t>
  </si>
  <si>
    <t xml:space="preserve">1. Add a valid primary set totalling 100%.
2. Add secondary beneficiaries totalling 80%.
3. Observe errors.
4. Adjust secondary to 100%.</t>
  </si>
  <si>
    <t xml:space="preserve">- Secondary group shows its own error while primary shows none.
- At 100% secondary the error clears.</t>
  </si>
  <si>
    <t xml:space="preserve">Screenshot of separate totals.</t>
  </si>
  <si>
    <t xml:space="preserve">TC-BEN-005</t>
  </si>
  <si>
    <t xml:space="preserve">BEN-V05</t>
  </si>
  <si>
    <t xml:space="preserve">Minor beneficiary requires guardian details</t>
  </si>
  <si>
    <t xml:space="preserve">R-BEN-02</t>
  </si>
  <si>
    <t xml:space="preserve">SDC-14</t>
  </si>
  <si>
    <t xml:space="preserve">highest linked risk R-BEN-02 (score 9)</t>
  </si>
  <si>
    <t xml:space="preserve">@regression @beneficiary @SDC-14</t>
  </si>
  <si>
    <t xml:space="preserve">Beneficiary DOB = today - 17y; then adult DOB</t>
  </si>
  <si>
    <t xml:space="preserve">1. Enter a beneficiary with a minor DOB.
2. Observe guardian fields.
3. Leave guardian blank and save.
4. Fill guardian details and save.
5. Change DOB to adult.</t>
  </si>
  <si>
    <t xml:space="preserve">- Guardian fields appear and are mandatory for the minor.
- Saving without guardian is blocked.
- Guardian fields hide for an adult.</t>
  </si>
  <si>
    <t xml:space="preserve">minor-guardian-section, beneficiary-guardian-name-input, beneficiary-guardian-relationship-input, beneficiary-guardian-contact-input, beneficiary-guardian-address-input</t>
  </si>
  <si>
    <t xml:space="preserve">Screenshot of guardian error.</t>
  </si>
  <si>
    <t xml:space="preserve">TC-BEN-006</t>
  </si>
  <si>
    <t xml:space="preserve">BEN-V06</t>
  </si>
  <si>
    <t xml:space="preserve">Trust beneficiary shows trust-specific fields</t>
  </si>
  <si>
    <t xml:space="preserve">R-BEN-05</t>
  </si>
  <si>
    <t xml:space="preserve">highest linked risk R-BEN-05 (score 4)</t>
  </si>
  <si>
    <t xml:space="preserve">@regression @beneficiary</t>
  </si>
  <si>
    <t xml:space="preserve">Type = Trust</t>
  </si>
  <si>
    <t xml:space="preserve">1. Select Trust as beneficiary type.
2. Observe the form.
3. Leave trust fields blank and save.</t>
  </si>
  <si>
    <t xml:space="preserve">- Trust Name, Trustee Name and Trust Date fields appear.
- Individual-only fields are hidden.
- Blank trust fields block saving.</t>
  </si>
  <si>
    <t xml:space="preserve">beneficiary-trust-name-input, beneficiary-trust-date-input, beneficiary-trustee-name-input, beneficiary-trustee-contact-input</t>
  </si>
  <si>
    <t xml:space="preserve">Screenshot of trust fields.</t>
  </si>
  <si>
    <t xml:space="preserve">TC-BEN-007</t>
  </si>
  <si>
    <t xml:space="preserve">BEN-V07</t>
  </si>
  <si>
    <t xml:space="preserve">Organization beneficiary shows organization-specific fields</t>
  </si>
  <si>
    <t xml:space="preserve">Type = Organization</t>
  </si>
  <si>
    <t xml:space="preserve">1. Select Organization.
2. Observe the form.
3. Leave fields blank and save.</t>
  </si>
  <si>
    <t xml:space="preserve">- Registration and contact fields appear.
- Blank mandatory fields block saving.</t>
  </si>
  <si>
    <t xml:space="preserve">beneficiary-organization-name-input, beneficiary-organization-registration-input, beneficiary-organization-contact-input</t>
  </si>
  <si>
    <t xml:space="preserve">Screenshot of organization fields.</t>
  </si>
  <si>
    <t xml:space="preserve">TC-BEN-008</t>
  </si>
  <si>
    <t xml:space="preserve">BEN-V08</t>
  </si>
  <si>
    <t xml:space="preserve">Duplicate beneficiary is blocked</t>
  </si>
  <si>
    <t xml:space="preserve">R-BEN-03</t>
  </si>
  <si>
    <t xml:space="preserve">SDC-15</t>
  </si>
  <si>
    <t xml:space="preserve">highest linked risk R-BEN-03 (score 6)</t>
  </si>
  <si>
    <t xml:space="preserve">@regression @api @beneficiary @SDC-15</t>
  </si>
  <si>
    <t xml:space="preserve">One beneficiary already added.</t>
  </si>
  <si>
    <t xml:space="preserve">Same Name + DOB + Relationship; variant with different relationship</t>
  </si>
  <si>
    <t xml:space="preserve">1. Add the same Name, DOB and Relationship again.
2. Observe error.
3. Add a variant with a different relationship.
4. Read the list via GET .../beneficiaries.</t>
  </si>
  <si>
    <t xml:space="preserve">- Duplicate is blocked with an error.
- Only one row exists (UI and API).
- The different-relationship variant is allowed.</t>
  </si>
  <si>
    <t xml:space="preserve">beneficiary-error-summary, beneficiary-row-{id}; GET /api/applications/{id}/beneficiaries</t>
  </si>
  <si>
    <t xml:space="preserve">BeneficiaryPage, apiClient</t>
  </si>
  <si>
    <t xml:space="preserve">Screenshot of error; API list.</t>
  </si>
  <si>
    <t xml:space="preserve">TC-BEN-009</t>
  </si>
  <si>
    <t xml:space="preserve">BEN-V09</t>
  </si>
  <si>
    <t xml:space="preserve">Removing a beneficiary updates the allocation total</t>
  </si>
  <si>
    <t xml:space="preserve">R-BEN-04</t>
  </si>
  <si>
    <t xml:space="preserve">highest linked risk R-BEN-04 (score 4)</t>
  </si>
  <si>
    <t xml:space="preserve">Three primary beneficiaries 50/30/20.</t>
  </si>
  <si>
    <t xml:space="preserve">50%, 30%, 20%</t>
  </si>
  <si>
    <t xml:space="preserve">1. Remove the 30% beneficiary.
2. Read the running total and error.
3. Edit another to 50%.
4. Read the total again.</t>
  </si>
  <si>
    <t xml:space="preserve">- Total becomes 70% and an allocation error appears.
- After edit the total recomputes to 100% and the error clears.</t>
  </si>
  <si>
    <t xml:space="preserve">Screenshot after remove and after edit.</t>
  </si>
  <si>
    <t xml:space="preserve">TC-DOC-001</t>
  </si>
  <si>
    <t xml:space="preserve">Document upload &amp; validation summary</t>
  </si>
  <si>
    <t xml:space="preserve">DOC-V01</t>
  </si>
  <si>
    <t xml:space="preserve">Valid KYC document can be uploaded</t>
  </si>
  <si>
    <t xml:space="preserve">R-DOC-02</t>
  </si>
  <si>
    <t xml:space="preserve">Smoke test; highest linked risk R-DOC-02 (score 6)</t>
  </si>
  <si>
    <t xml:space="preserve">@smoke @regression @api @documents</t>
  </si>
  <si>
    <t xml:space="preserve">Documents step.</t>
  </si>
  <si>
    <t xml:space="preserve">valid.pdf, valid.jpg, valid.png (&lt;= 5 MB); document type KYC_ID</t>
  </si>
  <si>
    <t xml:space="preserve">1. Upload each valid file.
2. Observe status.
3. Reload the page.
4. Read GET .../documents (if endpoint exists).</t>
  </si>
  <si>
    <t xml:space="preserve">- Uploaded status and file name are displayed.
- Status persists after reload.
- Document appears once in the API list.</t>
  </si>
  <si>
    <t xml:space="preserve">documents-page, document-type-select (KYC_ID, ADDRESS_PROOF, INCOME_PROOF, OTHER), document-upload-kyc (file input), document-upload-button, documents-table, document-row-{id}, document-delete-{id}, documents-continue-review-button</t>
  </si>
  <si>
    <t xml:space="preserve">DocumentUploadPage, fileUploadHelper</t>
  </si>
  <si>
    <t xml:space="preserve">Screenshot of status.</t>
  </si>
  <si>
    <t xml:space="preserve">TC-DOC-002</t>
  </si>
  <si>
    <t xml:space="preserve">DOC-V02</t>
  </si>
  <si>
    <t xml:space="preserve">Unsupported file type is rejected</t>
  </si>
  <si>
    <t xml:space="preserve">@regression @api @documents</t>
  </si>
  <si>
    <t xml:space="preserve">invalid.exe, invalid.txt, and a text file renamed .pdf; use types ADDRESS_PROOF / INCOME_PROOF / OTHER (KYC_ID is covered by CLI-V09)</t>
  </si>
  <si>
    <t xml:space="preserve">1. Upload each unsupported file.
2. Observe error.
3. Check the document list and API.</t>
  </si>
  <si>
    <t xml:space="preserve">- "Unsupported document format. Accepted formats are PDF, JPG, and PNG." is shown.
- Nothing is stored; documents-table unchanged.</t>
  </si>
  <si>
    <t xml:space="preserve">DocumentUploadPage</t>
  </si>
  <si>
    <t xml:space="preserve">TC-DOC-003</t>
  </si>
  <si>
    <t xml:space="preserve">DOC-V03</t>
  </si>
  <si>
    <t xml:space="preserve">File above maximum size is rejected</t>
  </si>
  <si>
    <t xml:space="preserve">Limit 5 MB (5,120 KB): 5,121 KB file rejected with "Document size exceeds the allowed limit."; file at 5,120 KB accepted. Check that PHP upload_max_filesize/post_max_size is not lower than 5 MB, otherwise the failure message differs.</t>
  </si>
  <si>
    <t xml:space="preserve">1. Generate the oversize file at run time.
2. Upload it.
3. Upload a file at the limit.</t>
  </si>
  <si>
    <t xml:space="preserve">- A size error is shown for the oversize file and nothing is stored.
- The file at the limit is accepted.</t>
  </si>
  <si>
    <t xml:space="preserve">Screenshot of size error.</t>
  </si>
  <si>
    <t xml:space="preserve">OI-09</t>
  </si>
  <si>
    <t xml:space="preserve">TC-DOC-004</t>
  </si>
  <si>
    <t xml:space="preserve">DOC-V04</t>
  </si>
  <si>
    <t xml:space="preserve">Missing mandatory document blocks submission</t>
  </si>
  <si>
    <t xml:space="preserve">R-KYC-02</t>
  </si>
  <si>
    <t xml:space="preserve">SDC-06</t>
  </si>
  <si>
    <t xml:space="preserve">highest linked risk R-KYC-02 (score 9)</t>
  </si>
  <si>
    <t xml:space="preserve">@regression @api @documents @SDC-06</t>
  </si>
  <si>
    <t xml:space="preserve">Application complete except mandatory document.</t>
  </si>
  <si>
    <t xml:space="preserve">No document uploaded</t>
  </si>
  <si>
    <t xml:space="preserve">1. Skip the upload.
2. Open the review page.
3. Try to submit.
4. Call POST .../submit.</t>
  </si>
  <si>
    <t xml:space="preserve">- Validation summary lists the missing document.
- Submit is blocked in the UI.
- API submit is rejected and status stays Draft.</t>
  </si>
  <si>
    <t xml:space="preserve">Required document type KYC_ID; message "KYC ID document upload is required."; review-validation-errors</t>
  </si>
  <si>
    <t xml:space="preserve">DocumentUploadPage, ReviewPage, apiClient</t>
  </si>
  <si>
    <t xml:space="preserve">Screenshot of summary; API response.</t>
  </si>
  <si>
    <t xml:space="preserve">TC-DOC-005</t>
  </si>
  <si>
    <t xml:space="preserve">VAL-V01</t>
  </si>
  <si>
    <t xml:space="preserve">Validation summary lists all unresolved errors, grouped</t>
  </si>
  <si>
    <t xml:space="preserve">R-DOC-03; R-BEN-06</t>
  </si>
  <si>
    <t xml:space="preserve">highest linked risk R-BEN-06 (score 6)</t>
  </si>
  <si>
    <t xml:space="preserve">@regression @documents</t>
  </si>
  <si>
    <t xml:space="preserve">Application with only client information completed.</t>
  </si>
  <si>
    <t xml:space="preserve">Incomplete application</t>
  </si>
  <si>
    <t xml:space="preserve">1. Open the review page.
2. Read the validation summary.</t>
  </si>
  <si>
    <t xml:space="preserve">- Validation summary lists each unresolved section (client, address, contact, KYC, financial, compliance, product, beneficiaries, documents).
- Errors are grouped by section.</t>
  </si>
  <si>
    <t xml:space="preserve">review-page, review-validate-button, review-validation-errors</t>
  </si>
  <si>
    <t xml:space="preserve">ReviewPage</t>
  </si>
  <si>
    <t xml:space="preserve">TC-DOC-006</t>
  </si>
  <si>
    <t xml:space="preserve">VAL-V02</t>
  </si>
  <si>
    <t xml:space="preserve">Clicking a validation error navigates to the field</t>
  </si>
  <si>
    <t xml:space="preserve">R-DOC-03</t>
  </si>
  <si>
    <t xml:space="preserve">highest linked risk R-DOC-03 (score 4)</t>
  </si>
  <si>
    <t xml:space="preserve">Review page with at least three unresolved errors.</t>
  </si>
  <si>
    <t xml:space="preserve">1. Click each of the first three errors.
2. Observe the page.</t>
  </si>
  <si>
    <t xml:space="preserve">- The related section opens.
- The relevant field is focused or highlighted.</t>
  </si>
  <si>
    <t xml:space="preserve">review-validation-errors (links to sections)</t>
  </si>
  <si>
    <t xml:space="preserve">Screenshot after each click.</t>
  </si>
  <si>
    <t xml:space="preserve">TC-DOC-007</t>
  </si>
  <si>
    <t xml:space="preserve">VAL-V03</t>
  </si>
  <si>
    <t xml:space="preserve">Submit stays disabled until critical errors are resolved</t>
  </si>
  <si>
    <t xml:space="preserve">R-WF-02</t>
  </si>
  <si>
    <t xml:space="preserve">SDC-17</t>
  </si>
  <si>
    <t xml:space="preserve">highest linked risk R-WF-02 (score 9)</t>
  </si>
  <si>
    <t xml:space="preserve">@regression @api @documents @SDC-17</t>
  </si>
  <si>
    <t xml:space="preserve">Review page with a critical error.</t>
  </si>
  <si>
    <t xml:space="preserve">Application with one critical error</t>
  </si>
  <si>
    <t xml:space="preserve">1. Open /applications/{id}/review with a critical error.
2. Read the state of review-submit-application-button.
3. Fix errors one by one; click review-validate-button and reload the review page after each fix.
4. With one error left POST /api/applications/{id}/validate and /submit.</t>
  </si>
  <si>
    <t xml:space="preserve">- Submit button is disabled while any review error exists.
- It becomes enabled only after all errors are resolved (review-validation-passed shows).
- API submit returns 422 "Validation failed" while an error remains.</t>
  </si>
  <si>
    <t xml:space="preserve">review-submit-application-button (disabled while review errors exist), review-validate-button, review-validation-passed</t>
  </si>
  <si>
    <t xml:space="preserve">ReviewPage, apiClient</t>
  </si>
  <si>
    <t xml:space="preserve">Screenshot of disabled button; API response.</t>
  </si>
  <si>
    <t xml:space="preserve">TC-WF-001</t>
  </si>
  <si>
    <t xml:space="preserve">Submission &amp; status tracking</t>
  </si>
  <si>
    <t xml:space="preserve">WF-V01</t>
  </si>
  <si>
    <t xml:space="preserve">Agent can save an incomplete application as draft</t>
  </si>
  <si>
    <t xml:space="preserve">R-WF-01</t>
  </si>
  <si>
    <t xml:space="preserve">highest linked risk R-WF-01 (score 9)</t>
  </si>
  <si>
    <t xml:space="preserve">@regression @workflow @SDC-16</t>
  </si>
  <si>
    <t xml:space="preserve">Logged in as {learnerUser}. In this build the draft is created by application-create-draft-button and each Save &amp; Continue stores the step.</t>
  </si>
  <si>
    <t xml:space="preserve">Client + address data</t>
  </si>
  <si>
    <t xml:space="preserve">1. Open /applications/new and click application-create-draft-button.
2. Fill and save the client step; stop there.
3. Open /dashboard (nav-dashboard-link).</t>
  </si>
  <si>
    <t xml:space="preserve">- Dashboard shows the application with status DRAFT.
- The draft summary count increased by 1.</t>
  </si>
  <si>
    <t xml:space="preserve">application-create-draft-button, client-save-continue-button, nav-dashboard-link, application-status-{id}</t>
  </si>
  <si>
    <t xml:space="preserve">ClientInformationPage, DashboardPage</t>
  </si>
  <si>
    <t xml:space="preserve">Screenshot of draft row.</t>
  </si>
  <si>
    <t xml:space="preserve">TC-WF-002</t>
  </si>
  <si>
    <t xml:space="preserve">WF-V02</t>
  </si>
  <si>
    <t xml:space="preserve">Draft can be resumed with saved data</t>
  </si>
  <si>
    <t xml:space="preserve">@regression @api @workflow @SDC-16</t>
  </si>
  <si>
    <t xml:space="preserve">Draft from WF-V01 style setup.</t>
  </si>
  <si>
    <t xml:space="preserve">Known field values</t>
  </si>
  <si>
    <t xml:space="preserve">1. Log out and log in again.
2. Resume the draft.
3. Compare every field with the values entered.
4. Compare with GET .../client.</t>
  </si>
  <si>
    <t xml:space="preserve">- All entered values are restored in the UI.
- API data equals UI data.</t>
  </si>
  <si>
    <t xml:space="preserve">application-open-{id}; GET /api/applications/{id}/client</t>
  </si>
  <si>
    <t xml:space="preserve">DashboardPage, ClientInformationPage, apiClient</t>
  </si>
  <si>
    <t xml:space="preserve">Field comparison table.</t>
  </si>
  <si>
    <t xml:space="preserve">TC-WF-003</t>
  </si>
  <si>
    <t xml:space="preserve">WF-V03</t>
  </si>
  <si>
    <t xml:space="preserve">Valid application can be submitted successfully (full E2E)</t>
  </si>
  <si>
    <t xml:space="preserve">R-WF-03</t>
  </si>
  <si>
    <t xml:space="preserve">E2E</t>
  </si>
  <si>
    <t xml:space="preserve">Smoke test; highest linked risk R-WF-03 (score 6)</t>
  </si>
  <si>
    <t xml:space="preserve">@smoke @regression @e2e @api @workflow</t>
  </si>
  <si>
    <t xml:space="preserve">Two data-driven flows: TD-E2E-01 (individual beneficiary, ADB rider) and TD-E2E-02 (trust primary, minor secondary with guardian, critical illness rider with questionnaire)</t>
  </si>
  <si>
    <t xml:space="preserve">1. Login and open dashboard.
2. Start new application.
3. Complete client, address, KYC and upload documents.
4. Select product and configure policy.
5. Add rider(s).
6. Add beneficiaries totalling 100%.
7. Open review with zero errors and submit.
8. Read reference number.
9. Open dashboard.</t>
  </si>
  <si>
    <t xml:space="preserve">- Confirmation page shows confirmation-reference-number matching WL + yyyymmdd + 5 digits (e.g. WL2026102500123).
- Dashboard row shows SUBMITTED.
- GET /api/applications/{id}/status shows SUBMITTED with a history entry "Application submitted successfully."</t>
  </si>
  <si>
    <t xml:space="preserve">All page ids; confirmation-reference-number, confirmation-view-status-link, status-current-value; reference regex /^WL\d{8}\d{5}$/</t>
  </si>
  <si>
    <t xml:space="preserve">All page objects</t>
  </si>
  <si>
    <t xml:space="preserve">Screenshots at each stage; trace; reference number in report.</t>
  </si>
  <si>
    <t xml:space="preserve">TC-WF-004</t>
  </si>
  <si>
    <t xml:space="preserve">WF-V04</t>
  </si>
  <si>
    <t xml:space="preserve">Submitted application becomes read-only</t>
  </si>
  <si>
    <t xml:space="preserve">R-WF-04</t>
  </si>
  <si>
    <t xml:space="preserve">highest linked risk R-WF-04 (score 6)</t>
  </si>
  <si>
    <t xml:space="preserve">@regression @api @workflow</t>
  </si>
  <si>
    <t xml:space="preserve">A submitted application exists.</t>
  </si>
  <si>
    <t xml:space="preserve">{submittedAgent} SUBMITTED application WL202605170003 (seeded)</t>
  </si>
  <si>
    <t xml:space="preserve">1. Open the submitted application.
2. Check all inputs.
3. Attempt to edit via API.</t>
  </si>
  <si>
    <t xml:space="preserve">- Fields are not editable; no save/submit action available.
- API rejects edit requests.</t>
  </si>
  <si>
    <t xml:space="preserve">Submitted application pages /applications/{id}/client etc.; POST edits</t>
  </si>
  <si>
    <t xml:space="preserve">ApplicationStatusPage, apiClient</t>
  </si>
  <si>
    <t xml:space="preserve">Screenshot; API response.</t>
  </si>
  <si>
    <t xml:space="preserve">TC-WF-005</t>
  </si>
  <si>
    <t xml:space="preserve">WF-V05</t>
  </si>
  <si>
    <t xml:space="preserve">Confirmation message appears after submission</t>
  </si>
  <si>
    <t xml:space="preserve">R-WF-05</t>
  </si>
  <si>
    <t xml:space="preserve">highest linked risk R-WF-05 (score 2)</t>
  </si>
  <si>
    <t xml:space="preserve">@regression @workflow</t>
  </si>
  <si>
    <t xml:space="preserve">Complete application ready to submit.</t>
  </si>
  <si>
    <t xml:space="preserve">Complete application</t>
  </si>
  <si>
    <t xml:space="preserve">1. Submit.
2. Read the confirmation page.</t>
  </si>
  <si>
    <t xml:space="preserve">- Success message and reference number are shown.
- Confirmation-email simulation message appears if present [V].</t>
  </si>
  <si>
    <t xml:space="preserve">submission-confirmation-page, confirmation-reference-number, confirmation-dashboard-link</t>
  </si>
  <si>
    <t xml:space="preserve">ConfirmationPage</t>
  </si>
  <si>
    <t xml:space="preserve">Screenshot of confirmation.</t>
  </si>
  <si>
    <t xml:space="preserve">TC-WF-006</t>
  </si>
  <si>
    <t xml:space="preserve">WF-V06</t>
  </si>
  <si>
    <t xml:space="preserve">Dashboard status updates after submission</t>
  </si>
  <si>
    <t xml:space="preserve">R-WF-03; R-DASH-02</t>
  </si>
  <si>
    <t xml:space="preserve">@regression @api @workflow @SDC-18</t>
  </si>
  <si>
    <t xml:space="preserve">A draft that is ready to submit.</t>
  </si>
  <si>
    <t xml:space="preserve">1. Note draft counts.
2. Submit.
3. Open the dashboard.
4. Check the Submitted filter and the Draft filter.</t>
  </si>
  <si>
    <t xml:space="preserve">- Row status is Submitted.
- It appears under Submitted and not under Draft.
- Counts update.</t>
  </si>
  <si>
    <t xml:space="preserve">application-status-{id}, dashboard-summary-draft, dashboard-summary-submitted</t>
  </si>
  <si>
    <t xml:space="preserve">Screenshot of dashboard after submit.</t>
  </si>
  <si>
    <t xml:space="preserve">TC-WF-007</t>
  </si>
  <si>
    <t xml:space="preserve">WF-V07</t>
  </si>
  <si>
    <t xml:space="preserve">Application detail status matches the API response</t>
  </si>
  <si>
    <t xml:space="preserve">A submitted application.</t>
  </si>
  <si>
    <t xml:space="preserve">Submitted application</t>
  </si>
  <si>
    <t xml:space="preserve">1. Open /applications/:id/status.
2. Read current status and history.
3. Call GET .../status.
4. Compare.</t>
  </si>
  <si>
    <t xml:space="preserve">- Current status equals the API.
- History entries match in order and timestamps.</t>
  </si>
  <si>
    <t xml:space="preserve">status-page, status-current-value, status-reference-number, status-history-table, status-row-{id}; GET /api/applications/{id}/status (application_status, status_history[])</t>
  </si>
  <si>
    <t xml:space="preserve">History table.</t>
  </si>
  <si>
    <t xml:space="preserve">TC-API-001</t>
  </si>
  <si>
    <t xml:space="preserve">API tests</t>
  </si>
  <si>
    <t xml:space="preserve">API-V01</t>
  </si>
  <si>
    <t xml:space="preserve">Products API returns 200 and the expected schema</t>
  </si>
  <si>
    <t xml:space="preserve">R-API-03; R-PROD-05</t>
  </si>
  <si>
    <t xml:space="preserve">API</t>
  </si>
  <si>
    <t xml:space="preserve">@smoke @regression @api</t>
  </si>
  <si>
    <t xml:space="preserve">Authenticated API context.</t>
  </si>
  <si>
    <t xml:space="preserve">Expect 5 active products with product_code, product_name, eligibility_age_min/max, face_value_min/max, base_rate_per_1000, is_active</t>
  </si>
  <si>
    <t xml:space="preserve">1. GET /api/products with X-API-Key.
2. Assert status code, envelope and item schema.
3. GET /api/products?search=Secure.</t>
  </si>
  <si>
    <t xml:space="preserve">- HTTP 200 with status "success".
- data has 5 items with the listed keys and types.
- search filters by product name.</t>
  </si>
  <si>
    <t xml:space="preserve">GET /api/products. Header X-API-Key (env INSURANCE_API_KEY). Agent chosen with agent_email (default is learner001!). Envelope {status,message,data|errors}.</t>
  </si>
  <si>
    <t xml:space="preserve">apiClient</t>
  </si>
  <si>
    <t xml:space="preserve">Response body attached.</t>
  </si>
  <si>
    <t xml:space="preserve">TC-API-002</t>
  </si>
  <si>
    <t xml:space="preserve">API-V02</t>
  </si>
  <si>
    <t xml:space="preserve">Application APIs require authorization</t>
  </si>
  <si>
    <t xml:space="preserve">R-API-02; R-AUTH-06</t>
  </si>
  <si>
    <t xml:space="preserve">No API key (and a wrong key).</t>
  </si>
  <si>
    <t xml:space="preserve">X-API-Key missing; X-API-Key: wrong</t>
  </si>
  <si>
    <t xml:space="preserve">1. GET /api/applications without X-API-Key.
2. Repeat with a wrong key.
3. POST /api/applications/{id}/submit without key.
4. GET /api/health without key (public).</t>
  </si>
  <si>
    <t xml:space="preserve">- Protected endpoints return 401 {status:"error", message:"Unauthorized"}.
- No application data is returned.
- Health returns 200 without a key.</t>
  </si>
  <si>
    <t xml:space="preserve">GET /api/applications, POST /api/applications/{id}/submit. GET /api/health is public.</t>
  </si>
  <si>
    <t xml:space="preserve">Status codes and bodies attached.</t>
  </si>
  <si>
    <t xml:space="preserve">TC-API-003</t>
  </si>
  <si>
    <t xml:space="preserve">API-V03</t>
  </si>
  <si>
    <t xml:space="preserve">Client API rejects invalid DOB</t>
  </si>
  <si>
    <t xml:space="preserve">R-CLI-01; R-CLI-02; R-API-01</t>
  </si>
  <si>
    <t xml:space="preserve">SDC-04; SDC-05; SDC-19</t>
  </si>
  <si>
    <t xml:space="preserve">@regression @api @SDC-04 @SDC-05 @SDC-19</t>
  </si>
  <si>
    <t xml:space="preserve">Draft created by POST /api/applications (agent_email = {learnerUser}). Payload field names assumed equal to the UI form (first_name, last_name, date_of_birth, gender, marital_status, nationality, occupation, employer_name, employer_address): confirm at first run.</t>
  </si>
  <si>
    <t xml:space="preserve">DOB future, age 17, age 66; valid DOB</t>
  </si>
  <si>
    <t xml:space="preserve">1. POST client data with each invalid DOB.
2. GET the client data after each.
3. POST with a valid DOB.</t>
  </si>
  <si>
    <t xml:space="preserve">- Future DOB and out-of-range ages are rejected (422, status "error", errors keyed by field); capture exact bodies.
- GET client afterwards shows no invalid DOB.
- Valid DOB returns success. UI and API outcomes agree.</t>
  </si>
  <si>
    <t xml:space="preserve">POST /api/applications/{id}/client. Header X-API-Key (env INSURANCE_API_KEY). Agent chosen with agent_email (default is learner001!). Envelope {status,message,data|errors}.</t>
  </si>
  <si>
    <t xml:space="preserve">Request/response pairs.</t>
  </si>
  <si>
    <t xml:space="preserve">OI-18</t>
  </si>
  <si>
    <t xml:space="preserve">TC-API-004</t>
  </si>
  <si>
    <t xml:space="preserve">API-V04</t>
  </si>
  <si>
    <t xml:space="preserve">Validation API returns beneficiary allocation error</t>
  </si>
  <si>
    <t xml:space="preserve">R-BEN-01; R-API-01</t>
  </si>
  <si>
    <t xml:space="preserve">SDC-13; SDC-19</t>
  </si>
  <si>
    <t xml:space="preserve">@regression @api @SDC-13 @SDC-19</t>
  </si>
  <si>
    <t xml:space="preserve">Application with beneficiaries added.</t>
  </si>
  <si>
    <t xml:space="preserve">Primary 90%, 110%, 100%</t>
  </si>
  <si>
    <t xml:space="preserve">1. Set up beneficiaries for each total.
2. POST .../validate.
3. Read the error structure.</t>
  </si>
  <si>
    <t xml:space="preserve">- 90% and 110% return 422 "Validation failed" with an error under beneficiaries about the primary allocation (expected wording: "Primary beneficiary allocation must total exactly 100%").
- 100% returns no beneficiaries error.</t>
  </si>
  <si>
    <t xml:space="preserve">POST /api/applications/{id}/validate. Header X-API-Key (env INSURANCE_API_KEY). Agent chosen with agent_email (default is learner001!). Envelope {status,message,data|errors}.</t>
  </si>
  <si>
    <t xml:space="preserve">Validate response bodies.</t>
  </si>
  <si>
    <t xml:space="preserve">TC-API-005</t>
  </si>
  <si>
    <t xml:space="preserve">API-V05</t>
  </si>
  <si>
    <t xml:space="preserve">Submission API rejects an incomplete application</t>
  </si>
  <si>
    <t xml:space="preserve">R-WF-02; R-KYC-02; R-API-01</t>
  </si>
  <si>
    <t xml:space="preserve">SDC-17; SDC-06; SDC-19</t>
  </si>
  <si>
    <t xml:space="preserve">@regression @api @SDC-17 @SDC-06 @SDC-19</t>
  </si>
  <si>
    <t xml:space="preserve">Incomplete draft.</t>
  </si>
  <si>
    <t xml:space="preserve">Draft missing documents and beneficiaries</t>
  </si>
  <si>
    <t xml:space="preserve">1. POST .../submit.
2. Read the response.
3. GET .../status.</t>
  </si>
  <si>
    <t xml:space="preserve">- 422 "Validation failed" with an errors bag per section.
- GET status still DRAFT; application_reference_number empty.</t>
  </si>
  <si>
    <t xml:space="preserve">POST /api/applications/{id}/submit; GET .../status. Header X-API-Key (env INSURANCE_API_KEY). Agent chosen with agent_email (default is learner001!). Envelope {status,message,data|errors}.</t>
  </si>
  <si>
    <t xml:space="preserve">Response body; status response.</t>
  </si>
  <si>
    <t xml:space="preserve">TC-API-006</t>
  </si>
  <si>
    <t xml:space="preserve">API-V06</t>
  </si>
  <si>
    <t xml:space="preserve">Application status API matches the dashboard</t>
  </si>
  <si>
    <t xml:space="preserve">@regression @api @SDC-18</t>
  </si>
  <si>
    <t xml:space="preserve">Agent with applications.</t>
  </si>
  <si>
    <t xml:space="preserve">1. GET .../status for an application.
2. Read the dashboard status for the same ID.
3. Compare.</t>
  </si>
  <si>
    <t xml:space="preserve">- Statuses are equal for the same agent and application.</t>
  </si>
  <si>
    <t xml:space="preserve">GET /api/applications/{id}/status -&gt; {application_id, application_reference_number, application_status, current_step, status_history[]}; use agent_email of the UI user</t>
  </si>
  <si>
    <t xml:space="preserve">apiClient, DashboardPage</t>
  </si>
  <si>
    <t xml:space="preserve">ID / UI / API status table.</t>
  </si>
  <si>
    <t xml:space="preserve">TC-API-007</t>
  </si>
  <si>
    <t xml:space="preserve">API-V07</t>
  </si>
  <si>
    <t xml:space="preserve">Product API supports product detail retrieval</t>
  </si>
  <si>
    <t xml:space="preserve">R-PROD-05; R-API-03</t>
  </si>
  <si>
    <t xml:space="preserve">highest linked risk R-PROD-05 (score 4)</t>
  </si>
  <si>
    <t xml:space="preserve">@regression @api</t>
  </si>
  <si>
    <t xml:space="preserve">Product selected in the UI.</t>
  </si>
  <si>
    <t xml:space="preserve">Selected product ID</t>
  </si>
  <si>
    <t xml:space="preserve">1. Read name, limits, terms and eligibility on the details page.
2. GET /api/products/{id}.
3. Compare.</t>
  </si>
  <si>
    <t xml:space="preserve">- All compared fields are equal.
- Unknown product ID returns 404.</t>
  </si>
  <si>
    <t xml:space="preserve">GET /api/products/{product}: id is the numeric product id; unknown id -&gt; 404</t>
  </si>
  <si>
    <t xml:space="preserve">apiClient, ProductCatalogPage</t>
  </si>
  <si>
    <t xml:space="preserve">Comparison table.</t>
  </si>
  <si>
    <t xml:space="preserve">TC-API-008</t>
  </si>
  <si>
    <t xml:space="preserve">API-V08</t>
  </si>
  <si>
    <t xml:space="preserve">Applications API returns only the logged-in agent records</t>
  </si>
  <si>
    <t xml:space="preserve">Two agents with applications.</t>
  </si>
  <si>
    <t xml:space="preserve">agent.valid and agent.draft (agent_email)</t>
  </si>
  <si>
    <t xml:space="preserve">1. GET /api/applications?agent_email=agent.valid@insurance.test and agent.draft@insurance.test.
2. Compare the two lists.
3. GET /api/applications/{id} for an id owned by the other agent and note the result.</t>
  </si>
  <si>
    <t xml:space="preserve">- The lists are disjoint.
- Per Problem Statement 2.2 an agent must only see own records: record the status/body of the cross-agent GET and assess against that rule (do not assume).</t>
  </si>
  <si>
    <t xml:space="preserve">GET /api/applications?agent_email=&lt;agent&gt;; GET /api/applications/{id}</t>
  </si>
  <si>
    <t xml:space="preserve">Status codes.</t>
  </si>
  <si>
    <t xml:space="preserve">TC-API-009</t>
  </si>
  <si>
    <t xml:space="preserve">API-P01</t>
  </si>
  <si>
    <t xml:space="preserve">Documents API validates type and size</t>
  </si>
  <si>
    <t xml:space="preserve">R-DOC-01; R-DOC-02</t>
  </si>
  <si>
    <t xml:space="preserve">highest linked risk R-DOC-02 (score 6)</t>
  </si>
  <si>
    <t xml:space="preserve">Draft application. PROPOSED test.</t>
  </si>
  <si>
    <t xml:space="preserve">valid PDF; invalid.exe; oversize file</t>
  </si>
  <si>
    <t xml:space="preserve">1. POST the valid PDF.
2. POST the invalid type.
3. POST the oversize file.
4. GET document status.</t>
  </si>
  <si>
    <t xml:space="preserve">- Valid PDF/JPG/PNG returns 201 "Document uploaded".
- Invalid type or &gt; 5 MB returns 422 "Document validation failed".
- KYC_ID upload satisfies the required-document rule.</t>
  </si>
  <si>
    <t xml:space="preserve">POST /api/applications/{id}/documents multipart: document_type (KYC_ID|ADDRESS_PROOF|INCOME_PROOF|OTHER), document (file). Header X-API-Key (env INSURANCE_API_KEY). Agent chosen with agent_email (default is learner001!). Envelope {status,message,data|errors}.</t>
  </si>
  <si>
    <t xml:space="preserve">apiClient, fileUploadHelper</t>
  </si>
  <si>
    <t xml:space="preserve">Responses.</t>
  </si>
  <si>
    <t xml:space="preserve">TC-API-010</t>
  </si>
  <si>
    <t xml:space="preserve">API-P02</t>
  </si>
  <si>
    <t xml:space="preserve">Login API status codes and response schema</t>
  </si>
  <si>
    <t xml:space="preserve">R-AUTH-01; R-AUTH-02</t>
  </si>
  <si>
    <t xml:space="preserve">SDC-01; SDC-02</t>
  </si>
  <si>
    <t xml:space="preserve">highest linked risk R-AUTH-01 (score 9)</t>
  </si>
  <si>
    <t xml:space="preserve">@regression @api @SDC-01 @SDC-02</t>
  </si>
  <si>
    <t xml:space="preserve">Seeded users. PROPOSED test.</t>
  </si>
  <si>
    <t xml:space="preserve">Valid, wrong password, blank, locked user</t>
  </si>
  <si>
    <t xml:space="preserve">1. POST /api/login with {validAgent}.
2. POST with a wrong password.
3. POST with blank body.
4. POST with {lockedAgent}.</t>
  </si>
  <si>
    <t xml:space="preserve">- Valid: 200, message "Login validated successfully", data {user_id,name,email,role,learner_code,account_status}; no token or cookie.
- Wrong password: 401 "Invalid credentials".
- Blank: 422 with field errors.
- Locked: 403 "Account locked".</t>
  </si>
  <si>
    <t xml:space="preserve">POST /api/login {email,password} (not /api/auth/login). Success has no token.</t>
  </si>
  <si>
    <t xml:space="preserve">Data ID</t>
  </si>
  <si>
    <t xml:space="preserve">Name / placeholder</t>
  </si>
  <si>
    <t xml:space="preserve">Values or generation rule</t>
  </si>
  <si>
    <t xml:space="preserve">Used by (validation IDs)</t>
  </si>
  <si>
    <t xml:space="preserve">Status</t>
  </si>
  <si>
    <t xml:space="preserve">TD-USR-01</t>
  </si>
  <si>
    <t xml:space="preserve">agent.valid@insurance.test. Primary happy path and regression. Owns seeded DRAFT WL202605170001. (Lab Manual 3.1)</t>
  </si>
  <si>
    <t xml:space="preserve">AUTH-V01, V02, V04, DASH-*, API-V08</t>
  </si>
  <si>
    <t xml:space="preserve">Confirmed (M)</t>
  </si>
  <si>
    <t xml:space="preserve">TD-USR-02</t>
  </si>
  <si>
    <t xml:space="preserve">{agent2}</t>
  </si>
  <si>
    <t xml:space="preserve">agent.draft@insurance.test. Second agent with own draft; used for isolation checks.</t>
  </si>
  <si>
    <t xml:space="preserve">DASH-V02, API-V08</t>
  </si>
  <si>
    <t xml:space="preserve">TD-USR-03</t>
  </si>
  <si>
    <t xml:space="preserve">{newAgent}</t>
  </si>
  <si>
    <t xml:space="preserve">agent.new@insurance.test. Fresh user with no applications.</t>
  </si>
  <si>
    <t xml:space="preserve">TD-USR-04</t>
  </si>
  <si>
    <t xml:space="preserve">{submittedAgent}</t>
  </si>
  <si>
    <t xml:space="preserve">agent.submitted@insurance.test. Owns SUBMITTED WL202605170003 and REQUIRES_INFO WL202605170004 (seed).</t>
  </si>
  <si>
    <t xml:space="preserve">DASH-V05, WF-V04</t>
  </si>
  <si>
    <t xml:space="preserve">Confirmed (M, S)</t>
  </si>
  <si>
    <t xml:space="preserve">TD-USR-05</t>
  </si>
  <si>
    <t xml:space="preserve">{lockedAgent}</t>
  </si>
  <si>
    <t xml:space="preserve">agent.locked@insurance.test. Dedicated locked user (answer to Q-10).</t>
  </si>
  <si>
    <t xml:space="preserve">AUTH-V06, API-P02</t>
  </si>
  <si>
    <t xml:space="preserve">Confirmed (M, A)</t>
  </si>
  <si>
    <t xml:space="preserve">TD-USR-06</t>
  </si>
  <si>
    <t xml:space="preserve">{learnerUser}</t>
  </si>
  <si>
    <t xml:space="preserve">Your assigned learnerNNN@insurance.test (NNN 001-030). Used for all write flows and the E2E. NOTE: API default agent is learner001; always pass agent_email.</t>
  </si>
  <si>
    <t xml:space="preserve">WF-*, DASH-V06, API-* setup</t>
  </si>
  <si>
    <t xml:space="preserve">Set in .env (A)</t>
  </si>
  <si>
    <t xml:space="preserve">TD-USR-07</t>
  </si>
  <si>
    <t xml:space="preserve">{disposableAgent}</t>
  </si>
  <si>
    <t xml:space="preserve">Spare learner-pool account on your own VM, used to lock the account and for password-policy checks. Confirm with mentor; fallback agent.new@insurance.test (then run DASH-V03 first).</t>
  </si>
  <si>
    <t xml:space="preserve">AUTH-V07, AUTH-V08</t>
  </si>
  <si>
    <t xml:space="preserve">Confirm with mentor</t>
  </si>
  <si>
    <t xml:space="preserve">TD-USR-08</t>
  </si>
  <si>
    <t xml:space="preserve">Out of scope</t>
  </si>
  <si>
    <t xml:space="preserve">admin@insurance.test and agent.mfa@insurance.test exist in the seed but are NOT in the Lab Manual; admin and MFA are out of scope (Q-06, Q-15). Do not use unless the mentor says so.</t>
  </si>
  <si>
    <t xml:space="preserve">-</t>
  </si>
  <si>
    <t xml:space="preserve">TD-DOB-01</t>
  </si>
  <si>
    <t xml:space="preserve">Age 17 (reject)</t>
  </si>
  <si>
    <t xml:space="preserve">DOB = today - 18y + 1 day.</t>
  </si>
  <si>
    <t xml:space="preserve">CLI-V03, API-V03</t>
  </si>
  <si>
    <t xml:space="preserve">TD-DOB-02</t>
  </si>
  <si>
    <t xml:space="preserve">Age 18 (accept)</t>
  </si>
  <si>
    <t xml:space="preserve">DOB = today - 18y. Rule is inclusive.</t>
  </si>
  <si>
    <t xml:space="preserve">Ready (S)</t>
  </si>
  <si>
    <t xml:space="preserve">TD-DOB-03</t>
  </si>
  <si>
    <t xml:space="preserve">Age 40 (valid)</t>
  </si>
  <si>
    <t xml:space="preserve">DOB = today - 40y.</t>
  </si>
  <si>
    <t xml:space="preserve">CLI-V01, WF-V03</t>
  </si>
  <si>
    <t xml:space="preserve">TD-DOB-04</t>
  </si>
  <si>
    <t xml:space="preserve">Age 65 (accept)</t>
  </si>
  <si>
    <t xml:space="preserve">DOB = today - 65y. Rule is inclusive.</t>
  </si>
  <si>
    <t xml:space="preserve">TD-DOB-05</t>
  </si>
  <si>
    <t xml:space="preserve">Age 66 (reject)</t>
  </si>
  <si>
    <t xml:space="preserve">DOB = today - 66y.</t>
  </si>
  <si>
    <t xml:space="preserve">CLI-V04, API-V03</t>
  </si>
  <si>
    <t xml:space="preserve">TD-DOB-06</t>
  </si>
  <si>
    <t xml:space="preserve">Future DOB</t>
  </si>
  <si>
    <t xml:space="preserve">today + 1 day; today + 10y.</t>
  </si>
  <si>
    <t xml:space="preserve">CLI-V05, API-V03</t>
  </si>
  <si>
    <t xml:space="preserve">TD-DOB-07</t>
  </si>
  <si>
    <t xml:space="preserve">Age calculation edge cases</t>
  </si>
  <si>
    <t xml:space="preserve">Birthday today; birthday tomorrow; 29 February DOB.</t>
  </si>
  <si>
    <t xml:space="preserve">TD-DOB-08</t>
  </si>
  <si>
    <t xml:space="preserve">Minor beneficiary</t>
  </si>
  <si>
    <t xml:space="preserve">DOB = today - 17y (minor); today - 30y (adult).</t>
  </si>
  <si>
    <t xml:space="preserve">TD-ALLOC-01</t>
  </si>
  <si>
    <t xml:space="preserve">Allocation sets</t>
  </si>
  <si>
    <t xml:space="preserve">Primary: 100; 60+30 (=90); 60+50 (=110); 50/30/20. Secondary: 50+30 (=80); 100.</t>
  </si>
  <si>
    <t xml:space="preserve">BEN-V02..V04, V09, API-V04</t>
  </si>
  <si>
    <t xml:space="preserve">TD-FV-01</t>
  </si>
  <si>
    <t xml:space="preserve">Face value boundaries</t>
  </si>
  <si>
    <t xml:space="preserve">SecureLife 100,000/1,000,000; WealthBuilder 150,000/1,500,000; Elite Legacy 500,000/5,000,000; FlexiPay 100,000/1,200,000; Guaranteed Return 200,000/2,000,000. Test min-1, min, max, max+1.</t>
  </si>
  <si>
    <t xml:space="preserve">PROD-V03, V04</t>
  </si>
  <si>
    <t xml:space="preserve">Confirmed (S)</t>
  </si>
  <si>
    <t xml:space="preserve">TD-RIDER-01</t>
  </si>
  <si>
    <t xml:space="preserve">Rider rules</t>
  </si>
  <si>
    <t xml:space="preserve">Max 4 riders. Exclusive pair RIDER_WAIVER_DISABILITY + RIDER_WAIVER_CI. Age ranges and caps on Environment_Facts.</t>
  </si>
  <si>
    <t xml:space="preserve">RIDER-V02..V05</t>
  </si>
  <si>
    <t xml:space="preserve">TD-FILE-01</t>
  </si>
  <si>
    <t xml:space="preserve">Valid upload files</t>
  </si>
  <si>
    <t xml:space="preserve">valid.pdf, valid.jpg, valid.png (small).</t>
  </si>
  <si>
    <t xml:space="preserve">DOC-V01, API-P01</t>
  </si>
  <si>
    <t xml:space="preserve">TD-FILE-02</t>
  </si>
  <si>
    <t xml:space="preserve">Invalid upload files</t>
  </si>
  <si>
    <t xml:space="preserve">invalid.exe, invalid.txt, text file renamed .pdf (generated at run time).</t>
  </si>
  <si>
    <t xml:space="preserve">CLI-V09, DOC-V02</t>
  </si>
  <si>
    <t xml:space="preserve">TD-FILE-03</t>
  </si>
  <si>
    <t xml:space="preserve">Size boundary files</t>
  </si>
  <si>
    <t xml:space="preserve">5,120 KB (accept) and 5,121 KB (reject), generated at run time. Check server PHP limits first.</t>
  </si>
  <si>
    <t xml:space="preserve">Confirmed (S); confirm PHP limit</t>
  </si>
  <si>
    <t xml:space="preserve">TD-EMAIL-01</t>
  </si>
  <si>
    <t xml:space="preserve">Emails</t>
  </si>
  <si>
    <t xml:space="preserve">Invalid: abc | a@b | a@@b.com | a b@c.com. Valid: qa.user@example.com.</t>
  </si>
  <si>
    <t xml:space="preserve">TD-PHONE-01</t>
  </si>
  <si>
    <t xml:space="preserve">US phones</t>
  </si>
  <si>
    <t xml:space="preserve">Invalid: 123 | (055) 123-4567 | +44 20 7946 0958 | 555-0100. Valid: (212) 555-0147 | +1 212-555-0147 | 2125550147.</t>
  </si>
  <si>
    <t xml:space="preserve">TD-ZIP-01</t>
  </si>
  <si>
    <t xml:space="preserve">US ZIP and state</t>
  </si>
  <si>
    <t xml:space="preserve">Invalid: 1234 | 123456 | ABCDE | 12345-12. Valid: 10001 | 10001-1234. State: any of the 50 states + DC (two-letter code).</t>
  </si>
  <si>
    <t xml:space="preserve">TD-NAME-01</t>
  </si>
  <si>
    <t xml:space="preserve">Names</t>
  </si>
  <si>
    <t xml:space="preserve">Invalid: 12345 | @@@ | 101 chars | spaces. Valid: Anne-Marie O'Neil.</t>
  </si>
  <si>
    <t xml:space="preserve">TD-PWD-01</t>
  </si>
  <si>
    <t xml:space="preserve">Weak passwords (rule by rule)</t>
  </si>
  <si>
    <t xml:space="preserve">Ab1!xyz (under 12) | alllowercase1!xyz (no upper) | ALLUPPERCASE1!XYZ (no lower) | NoDigitsHere!!Xy (no digit) | NoSpecialChar12Ab (no !@#$%^&amp;*) | Xvalid#Pass9Zqw for agent.valid (contains username "valid") | Welcome#Pass12Zq (common pattern) | Abcd#Strong91Zq (sequential abcd) | Strong#Aaa91ZqWx (3 repeated characters). Compliant sample (not submitted): Tr7!kQz#Lm29Wp</t>
  </si>
  <si>
    <t xml:space="preserve">TD-SSN-01</t>
  </si>
  <si>
    <t xml:space="preserve">SSN test value</t>
  </si>
  <si>
    <t xml:space="preserve">Fake value 123-45-6789 (id type SSN). Expected masked form: *******6789. Other id types: STATE_ID, PASSPORT, DRIVERS_LICENSE.</t>
  </si>
  <si>
    <t xml:space="preserve">CLI-V08, KYC-P02</t>
  </si>
  <si>
    <t xml:space="preserve">Derived (S); confirm in UI</t>
  </si>
  <si>
    <t xml:space="preserve">TD-FIN-01</t>
  </si>
  <si>
    <t xml:space="preserve">Financial profiles</t>
  </si>
  <si>
    <t xml:space="preserve">Affordability: annual premium must not exceed 20% of annual income. Examples on Calculators. Source of funds: SALARY, BUSINESS, INVESTMENTS, INHERITANCE. Risk profile: CONSERVATIVE, MODERATE, AGGRESSIVE.</t>
  </si>
  <si>
    <t xml:space="preserve">KYC-P01, PROD-V07</t>
  </si>
  <si>
    <t xml:space="preserve">Confirmed (S); confirm annualisation</t>
  </si>
  <si>
    <t xml:space="preserve">TD-E2E-01</t>
  </si>
  <si>
    <t xml:space="preserve">Full valid application</t>
  </si>
  <si>
    <t xml:space="preserve">Age 40, SecureLife, face 250,000, monthly, RIDER_ADB, one primary beneficiary 100%, KYC_ID PDF, income 120,000.</t>
  </si>
  <si>
    <t xml:space="preserve">WF-V03, WF-V05, WF-V06</t>
  </si>
  <si>
    <t xml:space="preserve">TD-E2E-02</t>
  </si>
  <si>
    <t xml:space="preserve">Full valid application, variant</t>
  </si>
  <si>
    <t xml:space="preserve">Age 55, WealthBuilder face 350,000 quarterly, RIDER_CRITICAL_ILLNESS, trust primary 100%, minor secondary 100% with guardian, income 150,000.</t>
  </si>
  <si>
    <t xml:space="preserve">WF-V03 (second flow)</t>
  </si>
  <si>
    <t xml:space="preserve">TD-GEN-01</t>
  </si>
  <si>
    <t xml:space="preserve">Naming convention</t>
  </si>
  <si>
    <t xml:space="preserve">Created data uses QA_&lt;runId&gt;; tests change only what they created; seeded records are never edited; no database reset (Lab Manual section 8).</t>
  </si>
  <si>
    <t xml:space="preserve">All stateful tests</t>
  </si>
  <si>
    <t xml:space="preserve">Rule</t>
  </si>
  <si>
    <t xml:space="preserve">Premium and affordability calculators</t>
  </si>
  <si>
    <t xml:space="preserve">Formula source: application seed data and premium service constants (S). Annual premium = face value / 1000 x rate; period premium = annual / 12, 4, 2 or 1, rounded to 2 decimals. Confirm against the UI at first run (tolerance 0.01).</t>
  </si>
  <si>
    <t xml:space="preserve">Base premium</t>
  </si>
  <si>
    <t xml:space="preserve">Product</t>
  </si>
  <si>
    <t xml:space="preserve">Face value</t>
  </si>
  <si>
    <t xml:space="preserve">Rate per 1,000</t>
  </si>
  <si>
    <t xml:space="preserve">Annual premium</t>
  </si>
  <si>
    <t xml:space="preserve">Monthly</t>
  </si>
  <si>
    <t xml:space="preserve">Quarterly</t>
  </si>
  <si>
    <t xml:space="preserve">Semi-annual</t>
  </si>
  <si>
    <t xml:space="preserve">Annual</t>
  </si>
  <si>
    <t xml:space="preserve">Check vs seed data</t>
  </si>
  <si>
    <t xml:space="preserve">SecureLife (WL_SECURE_BASIC), min</t>
  </si>
  <si>
    <t xml:space="preserve">SecureLife, seed example</t>
  </si>
  <si>
    <t xml:space="preserve">WealthBuilder (WL_WEALTH_BUILDER), min</t>
  </si>
  <si>
    <t xml:space="preserve">WealthBuilder, seed example</t>
  </si>
  <si>
    <t xml:space="preserve">Elite Legacy (WL_ELITE_LEGACY), min</t>
  </si>
  <si>
    <t xml:space="preserve">FlexiPay (WL_FLEXI_PAY), min</t>
  </si>
  <si>
    <t xml:space="preserve">Guaranteed Return (WL_GUARANTEED_RETURN), min</t>
  </si>
  <si>
    <t xml:space="preserve">Rider premium</t>
  </si>
  <si>
    <t xml:space="preserve">Rider</t>
  </si>
  <si>
    <t xml:space="preserve">Coverage</t>
  </si>
  <si>
    <t xml:space="preserve">Note</t>
  </si>
  <si>
    <t xml:space="preserve">RIDER_ADB, coverage = base 250,000</t>
  </si>
  <si>
    <t xml:space="preserve">Seed: agent.valid rider premium 17.71 monthly</t>
  </si>
  <si>
    <t xml:space="preserve">RIDER_DISABILITY</t>
  </si>
  <si>
    <t xml:space="preserve">RIDER_TERM_ADDON</t>
  </si>
  <si>
    <t xml:space="preserve">RIDER_CRITICAL_ILLNESS (max 500,000)</t>
  </si>
  <si>
    <t xml:space="preserve">RIDER_HOSPITAL_CASH (fixed, max 100,000)</t>
  </si>
  <si>
    <t xml:space="preserve">Affordability rule</t>
  </si>
  <si>
    <t xml:space="preserve">Threshold (% of annual income)</t>
  </si>
  <si>
    <t xml:space="preserve">Source: app config DEMO_AFFORDABILITY_PERCENTAGE = 20 (S). Confirm that annual premium is the compared value.</t>
  </si>
  <si>
    <t xml:space="preserve">Case</t>
  </si>
  <si>
    <t xml:space="preserve">Annual income</t>
  </si>
  <si>
    <t xml:space="preserve">Limit</t>
  </si>
  <si>
    <t xml:space="preserve">Result</t>
  </si>
  <si>
    <t xml:space="preserve">Expected message</t>
  </si>
  <si>
    <t xml:space="preserve">Low income, SecureLife 250k monthly</t>
  </si>
  <si>
    <t xml:space="preserve">Adequate income, same policy</t>
  </si>
  <si>
    <t xml:space="preserve">Low income, Elite Legacy 500k</t>
  </si>
  <si>
    <t xml:space="preserve">Blue = input. Black = formula. Change the inputs to build extra test data; expected values update.</t>
  </si>
  <si>
    <t xml:space="preserve">Environment facts (replaces assumptions with sources)</t>
  </si>
  <si>
    <t xml:space="preserve">Sources: M = Lab Manual v1.0, A = learner answers, S = application source, V = verify in UI. Passwords and the API key are NOT recorded here (see .env).</t>
  </si>
  <si>
    <t xml:space="preserve">1. Access</t>
  </si>
  <si>
    <t xml:space="preserve">Item</t>
  </si>
  <si>
    <t xml:space="preserve">Value</t>
  </si>
  <si>
    <t xml:space="preserve">Source</t>
  </si>
  <si>
    <t xml:space="preserve">Insurance app</t>
  </si>
  <si>
    <t xml:space="preserve">http://&lt;vm-ip&gt;:8081/login</t>
  </si>
  <si>
    <t xml:space="preserve">Q-01 answered: port 8081. Env: INSURANCE_BASE_URL</t>
  </si>
  <si>
    <t xml:space="preserve">M, A</t>
  </si>
  <si>
    <t xml:space="preserve">FinServe app</t>
  </si>
  <si>
    <t xml:space="preserve">http://&lt;vm-ip&gt;:8082/login</t>
  </si>
  <si>
    <t xml:space="preserve">Different project, not used here</t>
  </si>
  <si>
    <t xml:space="preserve">M</t>
  </si>
  <si>
    <t xml:space="preserve">API base</t>
  </si>
  <si>
    <t xml:space="preserve">http://&lt;vm-ip&gt;:8081/api</t>
  </si>
  <si>
    <t xml:space="preserve">Header X-API-Key from .env (INSURANCE_API_KEY). GET /api/health is public.</t>
  </si>
  <si>
    <t xml:space="preserve">Platform</t>
  </si>
  <si>
    <t xml:space="preserve">Linux combined lab instance</t>
  </si>
  <si>
    <t xml:space="preserve">Manual v1.0 says Linux; the earlier Quick Start Manual described a Windows VM with C:\qa-lab. Confirm which applies to your VM.</t>
  </si>
  <si>
    <t xml:space="preserve">M, V</t>
  </si>
  <si>
    <t xml:space="preserve">Browsers</t>
  </si>
  <si>
    <t xml:space="preserve">Chromium default; Firefox and WebKit configurable</t>
  </si>
  <si>
    <t xml:space="preserve">Q-12: playwright.config projects selected by env BROWSERS (default chromium).</t>
  </si>
  <si>
    <t xml:space="preserve">A</t>
  </si>
  <si>
    <t xml:space="preserve">Workers</t>
  </si>
  <si>
    <t xml:space="preserve">Start with 1 worker</t>
  </si>
  <si>
    <t xml:space="preserve">VM is dedicated (Q-14) but earlier assignments showed concurrency artifacts under load; raise workers only for read-only suites.</t>
  </si>
  <si>
    <t xml:space="preserve">A, V</t>
  </si>
  <si>
    <t xml:space="preserve">Session lifetime</t>
  </si>
  <si>
    <t xml:space="preserve">120 minutes</t>
  </si>
  <si>
    <t xml:space="preserve">Session timeout testing is out of scope (Q-11).</t>
  </si>
  <si>
    <t xml:space="preserve">S, A</t>
  </si>
  <si>
    <t xml:space="preserve">Database</t>
  </si>
  <si>
    <t xml:space="preserve">MySQL (per app config); .sql dump found in db-dumps</t>
  </si>
  <si>
    <t xml:space="preserve">Read access still to be confirmed; do not run resets (Manual section 8).</t>
  </si>
  <si>
    <t xml:space="preserve">2. Seed users (usernames only; password and key in .env)</t>
  </si>
  <si>
    <t xml:space="preserve">Account</t>
  </si>
  <si>
    <t xml:space="preserve">Use</t>
  </si>
  <si>
    <t xml:space="preserve">Seed data / note</t>
  </si>
  <si>
    <t xml:space="preserve">agent.valid@insurance.test</t>
  </si>
  <si>
    <t xml:space="preserve">Primary happy path</t>
  </si>
  <si>
    <t xml:space="preserve">Seeded DRAFT WL202605170001 (step BENEFICIARIES)</t>
  </si>
  <si>
    <t xml:space="preserve">agent.new@insurance.test</t>
  </si>
  <si>
    <t xml:space="preserve">Fresh user</t>
  </si>
  <si>
    <t xml:space="preserve">No applications</t>
  </si>
  <si>
    <t xml:space="preserve">agent.draft@insurance.test</t>
  </si>
  <si>
    <t xml:space="preserve">Draft scenario</t>
  </si>
  <si>
    <t xml:space="preserve">Seeded DRAFT WL202605170002 (step DOCUMENTS)</t>
  </si>
  <si>
    <t xml:space="preserve">agent.submitted@insurance.test</t>
  </si>
  <si>
    <t xml:space="preserve">Submitted scenario</t>
  </si>
  <si>
    <t xml:space="preserve">SUBMITTED WL202605170003; REQUIRES_INFO WL202605170004</t>
  </si>
  <si>
    <t xml:space="preserve">agent.locked@insurance.test</t>
  </si>
  <si>
    <t xml:space="preserve">Locked login</t>
  </si>
  <si>
    <t xml:space="preserve">account_status LOCKED</t>
  </si>
  <si>
    <t xml:space="preserve">learner001..learner030@insurance.test</t>
  </si>
  <si>
    <t xml:space="preserve">Assigned learner pool</t>
  </si>
  <si>
    <t xml:space="preserve">Use your assigned account for write flows</t>
  </si>
  <si>
    <t xml:space="preserve">3. API contract (from source)</t>
  </si>
  <si>
    <t xml:space="preserve">Topic</t>
  </si>
  <si>
    <t xml:space="preserve">Fact</t>
  </si>
  <si>
    <t xml:space="preserve">Test impact</t>
  </si>
  <si>
    <t xml:space="preserve">Static X-API-Key. Missing/wrong key -&gt; 401 {"status":"error","message":"Unauthorized"}. No per-user token.</t>
  </si>
  <si>
    <t xml:space="preserve">API-V02, setup helper</t>
  </si>
  <si>
    <t xml:space="preserve">Agent context</t>
  </si>
  <si>
    <t xml:space="preserve">agent_email (or user_id) selects the agent; DEFAULT is learner001@insurance.test.</t>
  </si>
  <si>
    <t xml:space="preserve">Always pass agent_email equal to the UI user</t>
  </si>
  <si>
    <t xml:space="preserve">Envelope</t>
  </si>
  <si>
    <t xml:space="preserve">Success {status:"success", message, data}; error {status:"error", message, errors}</t>
  </si>
  <si>
    <t xml:space="preserve">Assertion helper</t>
  </si>
  <si>
    <t xml:space="preserve">POST /api/login</t>
  </si>
  <si>
    <t xml:space="preserve">200 "Login validated successfully" with user fields; 401 "Invalid credentials"; 403 "Account locked"; 422 blank</t>
  </si>
  <si>
    <t xml:space="preserve">API-P02, AUTH-V06</t>
  </si>
  <si>
    <t xml:space="preserve">POST /api/applications</t>
  </si>
  <si>
    <t xml:space="preserve">201 "Draft application created" (status DRAFT, step CLIENT, MONTHLY, WHOLE_LIFE)</t>
  </si>
  <si>
    <t xml:space="preserve">Fast setup for UI tests (OI-05 closed)</t>
  </si>
  <si>
    <t xml:space="preserve">Other endpoints</t>
  </si>
  <si>
    <t xml:space="preserve">GET /applications, /applications/{id}, /{id}/client, /{id}/beneficiaries, /{id}/status; POST /{id}/client, address-contact, kyc-financial, product, riders, beneficiaries, documents, validate, submit; GET /products, /products/{id}, /riders</t>
  </si>
  <si>
    <t xml:space="preserve">API-V01..V08, P01, P02</t>
  </si>
  <si>
    <t xml:space="preserve">Validate / submit errors</t>
  </si>
  <si>
    <t xml:space="preserve">422 "Validation failed" with errors per section</t>
  </si>
  <si>
    <t xml:space="preserve">API-V04, V05, VAL-V03</t>
  </si>
  <si>
    <t xml:space="preserve">Status payload</t>
  </si>
  <si>
    <t xml:space="preserve">application_id, application_reference_number, application_status, current_step, status_history[]</t>
  </si>
  <si>
    <t xml:space="preserve">API-V06, WF-V07</t>
  </si>
  <si>
    <t xml:space="preserve">4. Business limits and rules</t>
  </si>
  <si>
    <t xml:space="preserve">Message / note</t>
  </si>
  <si>
    <t xml:space="preserve">Client age</t>
  </si>
  <si>
    <t xml:space="preserve">18 to 65 inclusive</t>
  </si>
  <si>
    <t xml:space="preserve">"Client age must be between 18 and 65 years."</t>
  </si>
  <si>
    <t xml:space="preserve">A, S</t>
  </si>
  <si>
    <t xml:space="preserve">Not allowed</t>
  </si>
  <si>
    <t xml:space="preserve">"Future date of birth is not allowed."</t>
  </si>
  <si>
    <t xml:space="preserve">Max riders</t>
  </si>
  <si>
    <t xml:space="preserve">4 per application</t>
  </si>
  <si>
    <t xml:space="preserve">Message to capture</t>
  </si>
  <si>
    <t xml:space="preserve">Affordability</t>
  </si>
  <si>
    <t xml:space="preserve">Annual premium &lt;= 20% of annual income</t>
  </si>
  <si>
    <t xml:space="preserve">"Premium exceeds affordability threshold."</t>
  </si>
  <si>
    <t xml:space="preserve">Documents</t>
  </si>
  <si>
    <t xml:space="preserve">PDF, JPG, PNG; max 5 MB; required type KYC_ID; types KYC_ID, ADDRESS_PROOF, INCOME_PROOF, OTHER</t>
  </si>
  <si>
    <t xml:space="preserve">"Unsupported document format. Accepted formats are PDF, JPG, and PNG." / "Document size exceeds the allowed limit." / "KYC ID document upload is required."</t>
  </si>
  <si>
    <t xml:space="preserve">Beneficiaries</t>
  </si>
  <si>
    <t xml:space="preserve">Primary total exactly 100%; at least one primary; minor needs guardian</t>
  </si>
  <si>
    <t xml:space="preserve">"Primary beneficiary allocation must total exactly 100%." / "At least one primary beneficiary is required." / "Guardian details are required for minor beneficiaries."</t>
  </si>
  <si>
    <t xml:space="preserve">Password policy</t>
  </si>
  <si>
    <t xml:space="preserve">12+ chars; upper; lower; digit; one of !@#$%^&amp;*; no email username; no common/sequential pattern; no 3 repeated characters</t>
  </si>
  <si>
    <t xml:space="preserve">Rule-specific messages, e.g. "Password must be at least 12 characters."</t>
  </si>
  <si>
    <t xml:space="preserve">SSN / ID masking</t>
  </si>
  <si>
    <t xml:space="preserve">Characters except last 4 replaced by *; stored masked plus hash</t>
  </si>
  <si>
    <t xml:space="preserve">Q-18 unanswered: derived, confirm in UI</t>
  </si>
  <si>
    <t xml:space="preserve">Phone / ZIP / state</t>
  </si>
  <si>
    <t xml:space="preserve">US formats (see Test_Data)</t>
  </si>
  <si>
    <t xml:space="preserve">US states + DC</t>
  </si>
  <si>
    <t xml:space="preserve">Reference number</t>
  </si>
  <si>
    <t xml:space="preserve">WL + yyyymmdd + 5 digits (generated); seed examples use 4 digits</t>
  </si>
  <si>
    <t xml:space="preserve">Regex /^WL\d{13}$/ for new applications</t>
  </si>
  <si>
    <t xml:space="preserve">Premium frequency</t>
  </si>
  <si>
    <t xml:space="preserve">MONTHLY, QUARTERLY, SEMI_ANNUAL, ANNUAL; policy term WHOLE_LIFE, TO_AGE_100; payment term 1-100 years</t>
  </si>
  <si>
    <t xml:space="preserve">See Calculators</t>
  </si>
  <si>
    <t xml:space="preserve">Application statuses</t>
  </si>
  <si>
    <t xml:space="preserve">DRAFT, SUBMITTED, UNDER_REVIEW, APPROVED, REQUIRES_INFO, REJECTED</t>
  </si>
  <si>
    <t xml:space="preserve">Approved and later states are out of scope (Q-15)</t>
  </si>
  <si>
    <t xml:space="preserve">Lockout</t>
  </si>
  <si>
    <t xml:space="preserve">Five failed attempts (docs); lock is time-based (locked_until)</t>
  </si>
  <si>
    <t xml:space="preserve">Duration to observe; unlock is an admin action (out of scope)</t>
  </si>
  <si>
    <t xml:space="preserve">D, S, V</t>
  </si>
  <si>
    <t xml:space="preserve">5. Products (seed data)</t>
  </si>
  <si>
    <t xml:space="preserve">Product (code)</t>
  </si>
  <si>
    <t xml:space="preserve">Eligibility age</t>
  </si>
  <si>
    <t xml:space="preserve">Face value min / max</t>
  </si>
  <si>
    <t xml:space="preserve">SecureLife Whole Life (WL_SECURE_BASIC)</t>
  </si>
  <si>
    <t xml:space="preserve">18-65</t>
  </si>
  <si>
    <t xml:space="preserve">100,000 / 1,000,000</t>
  </si>
  <si>
    <t xml:space="preserve">4.75</t>
  </si>
  <si>
    <t xml:space="preserve">WealthBuilder Whole Life (WL_WEALTH_BUILDER)</t>
  </si>
  <si>
    <t xml:space="preserve">21-60</t>
  </si>
  <si>
    <t xml:space="preserve">150,000 / 1,500,000</t>
  </si>
  <si>
    <t xml:space="preserve">5.35</t>
  </si>
  <si>
    <t xml:space="preserve">Elite Legacy Whole Life (WL_ELITE_LEGACY)</t>
  </si>
  <si>
    <t xml:space="preserve">30-65</t>
  </si>
  <si>
    <t xml:space="preserve">500,000 / 5,000,000</t>
  </si>
  <si>
    <t xml:space="preserve">6.10</t>
  </si>
  <si>
    <t xml:space="preserve">FlexiPay Whole Life (WL_FLEXI_PAY)</t>
  </si>
  <si>
    <t xml:space="preserve">18-62</t>
  </si>
  <si>
    <t xml:space="preserve">100,000 / 1,200,000</t>
  </si>
  <si>
    <t xml:space="preserve">5.00</t>
  </si>
  <si>
    <t xml:space="preserve">Guaranteed Return Whole Life (WL_GUARANTEED_RETURN)</t>
  </si>
  <si>
    <t xml:space="preserve">25-55</t>
  </si>
  <si>
    <t xml:space="preserve">200,000 / 2,000,000</t>
  </si>
  <si>
    <t xml:space="preserve">5.85</t>
  </si>
  <si>
    <t xml:space="preserve">6. Riders (seed data)</t>
  </si>
  <si>
    <t xml:space="preserve">Rider (code)</t>
  </si>
  <si>
    <t xml:space="preserve">Age</t>
  </si>
  <si>
    <t xml:space="preserve">Coverage rule</t>
  </si>
  <si>
    <t xml:space="preserve">Other rules</t>
  </si>
  <si>
    <t xml:space="preserve">Rate / 1,000</t>
  </si>
  <si>
    <t xml:space="preserve">Accidental Death Benefit (RIDER_ADB), protection</t>
  </si>
  <si>
    <t xml:space="preserve">Same as base</t>
  </si>
  <si>
    <t xml:space="preserve">0.85</t>
  </si>
  <si>
    <t xml:space="preserve">Permanent Disability (RIDER_DISABILITY), protection</t>
  </si>
  <si>
    <t xml:space="preserve">18-60</t>
  </si>
  <si>
    <t xml:space="preserve">1.10</t>
  </si>
  <si>
    <t xml:space="preserve">Term Rider Add-on (RIDER_TERM_ADDON), protection</t>
  </si>
  <si>
    <t xml:space="preserve">21-55</t>
  </si>
  <si>
    <t xml:space="preserve">1.25</t>
  </si>
  <si>
    <t xml:space="preserve">Critical Illness (RIDER_CRITICAL_ILLNESS), health</t>
  </si>
  <si>
    <t xml:space="preserve">18-58</t>
  </si>
  <si>
    <t xml:space="preserve">Percent of base, max 500,000</t>
  </si>
  <si>
    <t xml:space="preserve">Health questionnaire</t>
  </si>
  <si>
    <t xml:space="preserve">1.60</t>
  </si>
  <si>
    <t xml:space="preserve">Hospital Cash (RIDER_HOSPITAL_CASH), health</t>
  </si>
  <si>
    <t xml:space="preserve">Fixed, max 100,000</t>
  </si>
  <si>
    <t xml:space="preserve">0.65</t>
  </si>
  <si>
    <t xml:space="preserve">Waiver - Disability (RIDER_WAIVER_DISABILITY)</t>
  </si>
  <si>
    <t xml:space="preserve">18-55</t>
  </si>
  <si>
    <t xml:space="preserve">Exclusive group WAIVER_PREMIUM; base face &gt;= 200,000</t>
  </si>
  <si>
    <t xml:space="preserve">0.70</t>
  </si>
  <si>
    <t xml:space="preserve">Waiver - Critical Illness (RIDER_WAIVER_CI)</t>
  </si>
  <si>
    <t xml:space="preserve">Exclusive group WAIVER_PREMIUM; base face &gt;= 200,000; health questionnaire</t>
  </si>
  <si>
    <t xml:space="preserve">0.90</t>
  </si>
  <si>
    <t xml:space="preserve">Family Income Benefit (RIDER_FAMILY_INCOME), income</t>
  </si>
  <si>
    <t xml:space="preserve">Percent of base, max 750,000</t>
  </si>
  <si>
    <t xml:space="preserve">Base face &gt;= 250,000</t>
  </si>
  <si>
    <t xml:space="preserve">1.35</t>
  </si>
  <si>
    <t xml:space="preserve">Guaranteed Income (RIDER_GUARANTEED_INCOME), income</t>
  </si>
  <si>
    <t xml:space="preserve">30-60</t>
  </si>
  <si>
    <t xml:space="preserve">Base face &gt;= 300,000</t>
  </si>
  <si>
    <t xml:space="preserve">1.50</t>
  </si>
  <si>
    <t xml:space="preserve">7. Confirmed routes (web)</t>
  </si>
  <si>
    <t xml:space="preserve">Route</t>
  </si>
  <si>
    <t xml:space="preserve">Page</t>
  </si>
  <si>
    <t xml:space="preserve">/login, /forgot-password, /reset-password-otp, /reset-password, /register, /verify-otp</t>
  </si>
  <si>
    <t xml:space="preserve">Guest pages</t>
  </si>
  <si>
    <t xml:space="preserve">OTP screens exist for password reset and agent registration (see observations)</t>
  </si>
  <si>
    <t xml:space="preserve">/change-password, /dashboard, /applications, /applications/new, /applications/{id}</t>
  </si>
  <si>
    <t xml:space="preserve">Authenticated</t>
  </si>
  <si>
    <t xml:space="preserve">start page has application-create-draft-button</t>
  </si>
  <si>
    <t xml:space="preserve">/applications/{id}/client, /address-contact, /kyc-financial, /product, /riders, /beneficiaries, /documents, /review, /confirmation, /status</t>
  </si>
  <si>
    <t xml:space="preserve">Workflow</t>
  </si>
  <si>
    <t xml:space="preserve">POST /applications/{id}/validate and /submit</t>
  </si>
  <si>
    <t xml:space="preserve">/products, /products/{product}, /profile, /support, /admin/*</t>
  </si>
  <si>
    <t xml:space="preserve">Other</t>
  </si>
  <si>
    <t xml:space="preserve">Admin out of scope (Q-15)</t>
  </si>
  <si>
    <t xml:space="preserve">8. Observations to raise (not defects)</t>
  </si>
  <si>
    <t xml:space="preserve">Observation</t>
  </si>
  <si>
    <t xml:space="preserve">Why it matters</t>
  </si>
  <si>
    <t xml:space="preserve">Action</t>
  </si>
  <si>
    <t xml:space="preserve">Q-06 answer says no OTP/MFA, but the app has OTP screens for password reset and agent registration, and a seeded agent.mfa user</t>
  </si>
  <si>
    <t xml:space="preserve">Password-policy tests use /change-password to avoid OTP; confirm scope with mentor</t>
  </si>
  <si>
    <t xml:space="preserve">Confirm</t>
  </si>
  <si>
    <t xml:space="preserve">Lab Manual sample uses test ids login-email / login-password / login-submit; the build uses login-email-input / login-password-input / login-submit-button</t>
  </si>
  <si>
    <t xml:space="preserve">Selectors from the manual would fail</t>
  </si>
  <si>
    <t xml:space="preserve">Use ids on Environment_Facts / Test_Cases</t>
  </si>
  <si>
    <t xml:space="preserve">No explicit "Save draft" button: drafts are created on application-create-draft-button and saved by each Save &amp; Continue</t>
  </si>
  <si>
    <t xml:space="preserve">WF-V01 wording adapted</t>
  </si>
  <si>
    <t xml:space="preserve">Confirm in UI</t>
  </si>
  <si>
    <t xml:space="preserve">No status filter control seen on the dashboard markup; API supports ?status=</t>
  </si>
  <si>
    <t xml:space="preserve">DASH-V05 adapted</t>
  </si>
  <si>
    <t xml:space="preserve">Seeded references use 4-digit sequences (WL202605170001); generated ones use 5 digits</t>
  </si>
  <si>
    <t xml:space="preserve">Reference regex applies to newly submitted applications only</t>
  </si>
  <si>
    <t xml:space="preserve">Check at submit</t>
  </si>
  <si>
    <t xml:space="preserve">The zip contains a docs folder with mentor/seeded-defect material and .bak files</t>
  </si>
  <si>
    <t xml:space="preserve">Black-box rule and your own findings: these were deliberately not used</t>
  </si>
  <si>
    <t xml:space="preserve">Decide with mentor whether to use</t>
  </si>
  <si>
    <t xml:space="preserve">Risk ID</t>
  </si>
  <si>
    <t xml:space="preserve">Risk</t>
  </si>
  <si>
    <t xml:space="preserve">Seeded defect</t>
  </si>
  <si>
    <t xml:space="preserve">Layers</t>
  </si>
  <si>
    <t xml:space="preserve">Planned tests (doc 04)</t>
  </si>
  <si>
    <t xml:space="preserve">Test cases linked (live)</t>
  </si>
  <si>
    <t xml:space="preserve">Linked test cases (generated list)</t>
  </si>
  <si>
    <t xml:space="preserve">Coverage type</t>
  </si>
  <si>
    <t xml:space="preserve">Coverage status</t>
  </si>
  <si>
    <t xml:space="preserve">Valid agent cannot log in after an authentication change; every journey is blocked.</t>
  </si>
  <si>
    <t xml:space="preserve">UI · API</t>
  </si>
  <si>
    <t xml:space="preserve">AUTH-V01, API-P02</t>
  </si>
  <si>
    <t xml:space="preserve">TC-AUTH-001, TC-API-010</t>
  </si>
  <si>
    <t xml:space="preserve">Test cases</t>
  </si>
  <si>
    <t xml:space="preserve">Locked agent sees a wrong or misleading message, or reaches the dashboard.</t>
  </si>
  <si>
    <t xml:space="preserve">UI · API · DB</t>
  </si>
  <si>
    <t xml:space="preserve">TC-AUTH-006, TC-API-010</t>
  </si>
  <si>
    <t xml:space="preserve">Account does not lock after five failed attempts (or locks early/late).</t>
  </si>
  <si>
    <t xml:space="preserve">Password policy inconsistent: weak passwords accepted, or UI and API rules differ.</t>
  </si>
  <si>
    <t xml:space="preserve">Invalid-password and blank-field messages are wrong or missing.</t>
  </si>
  <si>
    <t xml:space="preserve">AUTH-V02, AUTH-V03</t>
  </si>
  <si>
    <t xml:space="preserve">TC-AUTH-002, TC-AUTH-003</t>
  </si>
  <si>
    <t xml:space="preserve">Session survives logout, or protected routes and APIs are reachable without login.</t>
  </si>
  <si>
    <t xml:space="preserve">AUTH-V04, AUTH-V05, API-V02</t>
  </si>
  <si>
    <t xml:space="preserve">TC-AUTH-004, TC-AUTH-005, TC-API-002</t>
  </si>
  <si>
    <t xml:space="preserve">R-AUTH-07</t>
  </si>
  <si>
    <t xml:space="preserve">MFA/OTP flow cannot be automated reliably (unknown simulation mechanism).</t>
  </si>
  <si>
    <t xml:space="preserve">Exploratory, AUTH extension</t>
  </si>
  <si>
    <t xml:space="preserve">Out of scope (Q-06)</t>
  </si>
  <si>
    <t xml:space="preserve">Dashboard</t>
  </si>
  <si>
    <t xml:space="preserve">Agent sees another agent's applications (data isolation breach).</t>
  </si>
  <si>
    <t xml:space="preserve">TC-DASH-002, TC-API-008</t>
  </si>
  <si>
    <t xml:space="preserve">Dashboard status differs from backend / detail-page status.</t>
  </si>
  <si>
    <t xml:space="preserve">DASH-V06, WF-V07, API-V06</t>
  </si>
  <si>
    <t xml:space="preserve">TC-DASH-006, TC-WF-006, TC-WF-007, TC-API-006</t>
  </si>
  <si>
    <t xml:space="preserve">Resume opens a wrong or blank application.</t>
  </si>
  <si>
    <t xml:space="preserve">UI · DB</t>
  </si>
  <si>
    <t xml:space="preserve">Status filters return wrong rows; new-agent empty state broken.</t>
  </si>
  <si>
    <t xml:space="preserve">DASH-V03, DASH-V05</t>
  </si>
  <si>
    <t xml:space="preserve">TC-DASH-001, TC-DASH-003, TC-DASH-005</t>
  </si>
  <si>
    <t xml:space="preserve">Client information</t>
  </si>
  <si>
    <t xml:space="preserve">Age eligibility (18-65) not enforced, or boundary off by one.</t>
  </si>
  <si>
    <t xml:space="preserve">CLI-V03, CLI-V04, CLI-P01, API-V03</t>
  </si>
  <si>
    <t xml:space="preserve">TC-CLI-003, TC-CLI-004, TC-CLI-006, TC-API-003</t>
  </si>
  <si>
    <t xml:space="preserve">Future date of birth accepted and persisted.</t>
  </si>
  <si>
    <t xml:space="preserve">TC-CLI-005, TC-API-003</t>
  </si>
  <si>
    <t xml:space="preserve">Mandatory personal fields can be left blank.</t>
  </si>
  <si>
    <t xml:space="preserve">TC-CLI-001, TC-CLI-002, TC-CLI-008</t>
  </si>
  <si>
    <t xml:space="preserve">Age calculation wrong around birthdays, leap years or timezone.</t>
  </si>
  <si>
    <t xml:space="preserve">R-CLI-05</t>
  </si>
  <si>
    <t xml:space="preserve">Saved client data differs between UI and API/database after save.</t>
  </si>
  <si>
    <t xml:space="preserve">CLI-V01, API client GET</t>
  </si>
  <si>
    <t xml:space="preserve">Same-as-residential copies wrongly or goes stale after later edits.</t>
  </si>
  <si>
    <t xml:space="preserve">Invalid email, phone or postal code accepted.</t>
  </si>
  <si>
    <t xml:space="preserve">CLI-V07, ADR-P01</t>
  </si>
  <si>
    <t xml:space="preserve">TC-ADR-002, TC-ADR-003, TC-ADR-004</t>
  </si>
  <si>
    <t xml:space="preserve">Mailing address or preferred communication mode not enforced.</t>
  </si>
  <si>
    <t xml:space="preserve">ADR-P02, ADR-P03</t>
  </si>
  <si>
    <t xml:space="preserve">TC-ADR-005, TC-ADR-006</t>
  </si>
  <si>
    <t xml:space="preserve">KYC &amp; compliance</t>
  </si>
  <si>
    <t xml:space="preserve">SSN / ID shown unmasked on entry, review, confirmation or in API payload.</t>
  </si>
  <si>
    <t xml:space="preserve">Mandatory KYC documents not enforced before submission.</t>
  </si>
  <si>
    <t xml:space="preserve">DOC-V04, API-V05</t>
  </si>
  <si>
    <t xml:space="preserve">TC-DOC-004, TC-API-005</t>
  </si>
  <si>
    <t xml:space="preserve">Income vs premium affordability check not applied.</t>
  </si>
  <si>
    <t xml:space="preserve">ID number validation does not change with ID type.</t>
  </si>
  <si>
    <t xml:space="preserve">PEP = Yes does not require details; incomplete declaration does not block.</t>
  </si>
  <si>
    <t xml:space="preserve">CLI-V10, KYC-P03</t>
  </si>
  <si>
    <t xml:space="preserve">TC-KYC-003, TC-KYC-006</t>
  </si>
  <si>
    <t xml:space="preserve">Product &amp; policy</t>
  </si>
  <si>
    <t xml:space="preserve">Product eligibility / suitability not validated against age or financial profile.</t>
  </si>
  <si>
    <t xml:space="preserve">Face value minimum / maximum not enforced.</t>
  </si>
  <si>
    <t xml:space="preserve">PROD-V03, PROD-V04</t>
  </si>
  <si>
    <t xml:space="preserve">TC-PROD-003, TC-PROD-004</t>
  </si>
  <si>
    <t xml:space="preserve">Premium does not recalculate after frequency, face value or term change.</t>
  </si>
  <si>
    <t xml:space="preserve">Review-page premium differs from configuration-page premium.</t>
  </si>
  <si>
    <t xml:space="preserve">Catalog shows wrong or inactive products; detail page differs from API.</t>
  </si>
  <si>
    <t xml:space="preserve">PROD-V01, PROD-V02, API-V01, API-V07</t>
  </si>
  <si>
    <t xml:space="preserve">TC-PROD-001, TC-PROD-002, TC-API-001, TC-API-007</t>
  </si>
  <si>
    <t xml:space="preserve">R-PROD-06</t>
  </si>
  <si>
    <t xml:space="preserve">Payment-term / policy-term options not constrained by product rules.</t>
  </si>
  <si>
    <t xml:space="preserve">PROD-V01..V07 (extension)</t>
  </si>
  <si>
    <t xml:space="preserve">Riders</t>
  </si>
  <si>
    <t xml:space="preserve">Rider coverage allowed to exceed base policy face value.</t>
  </si>
  <si>
    <t xml:space="preserve">Mutually exclusive waiver riders can both be selected.</t>
  </si>
  <si>
    <t xml:space="preserve">Age-ineligible rider can be added.</t>
  </si>
  <si>
    <t xml:space="preserve">Maximum rider count not enforced.</t>
  </si>
  <si>
    <t xml:space="preserve">Rider premium not itemized or total premium not updated.</t>
  </si>
  <si>
    <t xml:space="preserve">RIDER-V01, RIDER-V07</t>
  </si>
  <si>
    <t xml:space="preserve">TC-RID-001, TC-RID-007</t>
  </si>
  <si>
    <t xml:space="preserve">Critical illness rider does not trigger health questionnaire.</t>
  </si>
  <si>
    <t xml:space="preserve">Allocation below or above 100% allowed (primary and secondary).</t>
  </si>
  <si>
    <t xml:space="preserve">BEN-V02, BEN-V03, BEN-V04, API-V04</t>
  </si>
  <si>
    <t xml:space="preserve">TC-BEN-002, TC-BEN-003, TC-BEN-004, TC-API-004</t>
  </si>
  <si>
    <t xml:space="preserve">Minor beneficiary accepted without guardian details.</t>
  </si>
  <si>
    <t xml:space="preserve">Duplicate (Name + DOB + Relationship) not blocked.</t>
  </si>
  <si>
    <t xml:space="preserve">Running total not updated on edit / remove; dynamic rows mishandled.</t>
  </si>
  <si>
    <t xml:space="preserve">TC-BEN-001, TC-BEN-009</t>
  </si>
  <si>
    <t xml:space="preserve">Trust / Organization specific fields missing or not mandatory.</t>
  </si>
  <si>
    <t xml:space="preserve">BEN-V06, BEN-V07</t>
  </si>
  <si>
    <t xml:space="preserve">TC-BEN-006, TC-BEN-007</t>
  </si>
  <si>
    <t xml:space="preserve">R-BEN-06</t>
  </si>
  <si>
    <t xml:space="preserve">Missing primary beneficiary does not block; irrevocable confirmation modal absent.</t>
  </si>
  <si>
    <t xml:space="preserve">BEN-V01 (extension)</t>
  </si>
  <si>
    <t xml:space="preserve">TC-BEN-001, TC-DOC-005</t>
  </si>
  <si>
    <t xml:space="preserve">Unsupported file type or oversized file accepted.</t>
  </si>
  <si>
    <t xml:space="preserve">DOC-V02, DOC-V03, API-P01</t>
  </si>
  <si>
    <t xml:space="preserve">TC-KYC-002, TC-DOC-002, TC-DOC-003, TC-API-009</t>
  </si>
  <si>
    <t xml:space="preserve">Valid upload shows success but is not stored or linked to the application.</t>
  </si>
  <si>
    <t xml:space="preserve">TC-DOC-001, TC-API-009</t>
  </si>
  <si>
    <t xml:space="preserve">Validation summary incomplete, or its links do not navigate to the field.</t>
  </si>
  <si>
    <t xml:space="preserve">VAL-V01, VAL-V02</t>
  </si>
  <si>
    <t xml:space="preserve">TC-DOC-005, TC-DOC-006</t>
  </si>
  <si>
    <t xml:space="preserve">Submission &amp; status</t>
  </si>
  <si>
    <t xml:space="preserve">Draft data not saved or restored correctly.</t>
  </si>
  <si>
    <t xml:space="preserve">WF-V01, WF-V02</t>
  </si>
  <si>
    <t xml:space="preserve">TC-WF-001, TC-WF-002</t>
  </si>
  <si>
    <t xml:space="preserve">Submit enabled while critical validation errors exist.</t>
  </si>
  <si>
    <t xml:space="preserve">VAL-V03, API-V05</t>
  </si>
  <si>
    <t xml:space="preserve">TC-DOC-007, TC-API-005</t>
  </si>
  <si>
    <t xml:space="preserve">Valid submission fails, reference number missing or duplicated, or status not transitioned.</t>
  </si>
  <si>
    <t xml:space="preserve">WF-V03, WF-V06</t>
  </si>
  <si>
    <t xml:space="preserve">TC-WF-003, TC-WF-006</t>
  </si>
  <si>
    <t xml:space="preserve">Submitted application remains editable.</t>
  </si>
  <si>
    <t xml:space="preserve">Confirmation message or status text missing after submission.</t>
  </si>
  <si>
    <t xml:space="preserve">R-API-01</t>
  </si>
  <si>
    <t xml:space="preserve">API validation differs from UI validation (rules enforced in one layer only).</t>
  </si>
  <si>
    <t xml:space="preserve">SDC-19</t>
  </si>
  <si>
    <t xml:space="preserve">API-V03, API-V04, API-V05</t>
  </si>
  <si>
    <t xml:space="preserve">TC-API-003, TC-API-004, TC-API-005</t>
  </si>
  <si>
    <t xml:space="preserve">R-API-02</t>
  </si>
  <si>
    <t xml:space="preserve">API reachable without valid token/session, or token handling inconsistent.</t>
  </si>
  <si>
    <t xml:space="preserve">R-API-03</t>
  </si>
  <si>
    <t xml:space="preserve">Schema or status-code contract drift (missing keys, wrong codes).</t>
  </si>
  <si>
    <t xml:space="preserve">API-V01, API-V07</t>
  </si>
  <si>
    <t xml:space="preserve">TC-API-001, TC-API-007</t>
  </si>
  <si>
    <t xml:space="preserve">R-ENV-01</t>
  </si>
  <si>
    <t xml:space="preserve">Data &amp; environment</t>
  </si>
  <si>
    <t xml:space="preserve">Seed data drift or shared state: tests mutate seeded data or collide with other runs.</t>
  </si>
  <si>
    <t xml:space="preserve">DB · UI</t>
  </si>
  <si>
    <t xml:space="preserve">Framework / CI design</t>
  </si>
  <si>
    <t xml:space="preserve">R-ENV-02</t>
  </si>
  <si>
    <t xml:space="preserve">Lab VM / app unavailable (RDP delay, app down) causing false failures.</t>
  </si>
  <si>
    <t xml:space="preserve">Environment</t>
  </si>
  <si>
    <t xml:space="preserve">Global setup health check</t>
  </si>
  <si>
    <t xml:space="preserve">R-ENV-03</t>
  </si>
  <si>
    <t xml:space="preserve">Hosted CI runner cannot reach an app bound to 127.0.0.1 on the lab VM.</t>
  </si>
  <si>
    <t xml:space="preserve">CI</t>
  </si>
  <si>
    <t xml:space="preserve">CI pipeline</t>
  </si>
  <si>
    <t xml:space="preserve">R-ENV-04</t>
  </si>
  <si>
    <t xml:space="preserve">Credentials or tokens leak into repo, reports, screenshots or traces.</t>
  </si>
  <si>
    <t xml:space="preserve">All</t>
  </si>
  <si>
    <t xml:space="preserve">Config and reporting</t>
  </si>
  <si>
    <t xml:space="preserve">R-FW-01</t>
  </si>
  <si>
    <t xml:space="preserve">Framework</t>
  </si>
  <si>
    <t xml:space="preserve">Failures hard to debug because evidence is captured inconsistently.</t>
  </si>
  <si>
    <t xml:space="preserve">SDC-20</t>
  </si>
  <si>
    <t xml:space="preserve">Playwright config</t>
  </si>
  <si>
    <t xml:space="preserve">R-FW-02</t>
  </si>
  <si>
    <t xml:space="preserve">Flaky tests from dynamic sections, hardcoded waits or weak locators.</t>
  </si>
  <si>
    <t xml:space="preserve">All UI tests</t>
  </si>
  <si>
    <t xml:space="preserve">R-FW-03</t>
  </si>
  <si>
    <t xml:space="preserve">Failures misclassified (e.g. UI/API mismatch logged as defect without matching user scope; concurrency-only failures treated as blockers).</t>
  </si>
  <si>
    <t xml:space="preserve">Defect triage process</t>
  </si>
  <si>
    <t xml:space="preserve">R-FW-04</t>
  </si>
  <si>
    <t xml:space="preserve">Locators and test data built on assumptions that the VM walkthrough later disproves.</t>
  </si>
  <si>
    <t xml:space="preserve">R-FW-05</t>
  </si>
  <si>
    <t xml:space="preserve">Traceability gaps between risks, test cases and defects.</t>
  </si>
  <si>
    <t xml:space="preserve">Test design sheet</t>
  </si>
  <si>
    <t xml:space="preserve">Candidate ID</t>
  </si>
  <si>
    <t xml:space="preserve">Seeded defect candidate (Problem Statement 2.2)</t>
  </si>
  <si>
    <t xml:space="preserve">Detection approach</t>
  </si>
  <si>
    <t xml:space="preserve">Official catalog ID</t>
  </si>
  <si>
    <t xml:space="preserve">Valid agents unable to log in after authentication changes</t>
  </si>
  <si>
    <t xml:space="preserve">UI, API</t>
  </si>
  <si>
    <t xml:space="preserve">Login with each seeded valid agent; compare API status code with UI outcome</t>
  </si>
  <si>
    <t xml:space="preserve">Locked agents receive incorrect or misleading error messages</t>
  </si>
  <si>
    <t xml:space="preserve">UI, API, DB</t>
  </si>
  <si>
    <t xml:space="preserve">Assert exact locked-account message and no dashboard access; check lock flag</t>
  </si>
  <si>
    <t xml:space="preserve">Password policy not consistently enforced</t>
  </si>
  <si>
    <t xml:space="preserve">Weak-password matrix on reset/change; repeat through API</t>
  </si>
  <si>
    <t xml:space="preserve">Client age eligibility rules missed</t>
  </si>
  <si>
    <t xml:space="preserve">Boundary DOBs (17y364d, 18y, 65y, 65y+1d)</t>
  </si>
  <si>
    <t xml:space="preserve">Future date of birth accepted</t>
  </si>
  <si>
    <t xml:space="preserve">Future DOB via UI and API; confirm nothing persisted</t>
  </si>
  <si>
    <t xml:space="preserve">Mandatory KYC documents not enforced before submission</t>
  </si>
  <si>
    <t xml:space="preserve">Submit without documents; expect block in UI and API</t>
  </si>
  <si>
    <t xml:space="preserve">SSN / sensitive identification data not masked</t>
  </si>
  <si>
    <t xml:space="preserve">Check entry, review page, confirmation page and API payload</t>
  </si>
  <si>
    <t xml:space="preserve">Income vs premium affordability validation not applied</t>
  </si>
  <si>
    <t xml:space="preserve">Low income + high premium; expect warning or block</t>
  </si>
  <si>
    <t xml:space="preserve">Product eligibility not validated against age / financial suitability</t>
  </si>
  <si>
    <t xml:space="preserve">Unsuitable risk profile / out-of-range age; expect warning</t>
  </si>
  <si>
    <t xml:space="preserve">Rider coverage allowed to exceed base policy face value</t>
  </si>
  <si>
    <t xml:space="preserve">Rider amount &gt; face value; expect validation</t>
  </si>
  <si>
    <t xml:space="preserve">Mutually exclusive waiver riders can both be selected</t>
  </si>
  <si>
    <t xml:space="preserve">Select both waiver riders; expect second blocked</t>
  </si>
  <si>
    <t xml:space="preserve">Premium calculation does not update after configuration changes</t>
  </si>
  <si>
    <t xml:space="preserve">R-PROD-03, R-RID-05</t>
  </si>
  <si>
    <t xml:space="preserve">TC-PROD-005, TC-PROD-006, TC-RID-007</t>
  </si>
  <si>
    <t xml:space="preserve">Change frequency / face value / rider; compare premium before and after, UI vs API</t>
  </si>
  <si>
    <t xml:space="preserve">Beneficiary allocation below or above 100% allowed</t>
  </si>
  <si>
    <t xml:space="preserve">99 / 101 / 100 totals, primary and secondary separately</t>
  </si>
  <si>
    <t xml:space="preserve">Minor beneficiary guardian details not required</t>
  </si>
  <si>
    <t xml:space="preserve">Minor DOB without guardian; expect mandatory error</t>
  </si>
  <si>
    <t xml:space="preserve">Duplicate beneficiaries not blocked</t>
  </si>
  <si>
    <t xml:space="preserve">Add same Name + DOB + Relationship twice; check row count</t>
  </si>
  <si>
    <t xml:space="preserve">Draft application data not persisted correctly</t>
  </si>
  <si>
    <t xml:space="preserve">TC-DASH-004, TC-WF-001, TC-WF-002</t>
  </si>
  <si>
    <t xml:space="preserve">Save partial data, reload, resume; compare every field</t>
  </si>
  <si>
    <t xml:space="preserve">Submit button enabled even when validation errors exist</t>
  </si>
  <si>
    <t xml:space="preserve">Leave critical error; assert disabled and API rejects direct submit</t>
  </si>
  <si>
    <t xml:space="preserve">Dashboard application status does not match backend status</t>
  </si>
  <si>
    <t xml:space="preserve">Compare dashboard, detail page, status API (same agent scope)</t>
  </si>
  <si>
    <t xml:space="preserve">API validation differs from UI validation</t>
  </si>
  <si>
    <t xml:space="preserve">Run the same invalid input through both layers and diff the outcome</t>
  </si>
  <si>
    <t xml:space="preserve">Test failures hard to debug (evidence not captured consistently)</t>
  </si>
  <si>
    <t xml:space="preserve">(framework configuration)</t>
  </si>
  <si>
    <t xml:space="preserve">Not an app defect: solved by trace/screenshot/video/log config (Submission 2)</t>
  </si>
  <si>
    <t xml:space="preserve">Q-03: no catalog is given to the cohort. These 20 are candidates taken from Problem Statement 2.2; confirm each by execution and record the result in the defect log (Q-17: report expected seeded AND unexpected defects).</t>
  </si>
  <si>
    <t xml:space="preserve">Coverage Summary</t>
  </si>
  <si>
    <t xml:space="preserve">Actual counts are live formulas on Test_Cases. Minimum (Submission and Evaluation 5.5) and Planned (QA Plan section 8) are blue inputs. Q-16: full scope kept; priority marks the order.</t>
  </si>
  <si>
    <t xml:space="preserve">Minimum</t>
  </si>
  <si>
    <t xml:space="preserve">Planned</t>
  </si>
  <si>
    <t xml:space="preserve">Actual</t>
  </si>
  <si>
    <t xml:space="preserve">Actual vs minimum</t>
  </si>
  <si>
    <t xml:space="preserve">Actual vs planned</t>
  </si>
  <si>
    <t xml:space="preserve">Total</t>
  </si>
  <si>
    <t xml:space="preserve">By priority</t>
  </si>
  <si>
    <t xml:space="preserve">Count</t>
  </si>
  <si>
    <t xml:space="preserve">% of total</t>
  </si>
  <si>
    <t xml:space="preserve">By layer</t>
  </si>
  <si>
    <t xml:space="preserve">By test type</t>
  </si>
  <si>
    <t xml:space="preserve">By tag (a test can carry several)</t>
  </si>
  <si>
    <t xml:space="preserve">@smoke</t>
  </si>
  <si>
    <t xml:space="preserve">@regression</t>
  </si>
  <si>
    <t xml:space="preserve">@e2e</t>
  </si>
  <si>
    <t xml:space="preserve">@api</t>
  </si>
  <si>
    <t xml:space="preserve">By automation status</t>
  </si>
  <si>
    <t xml:space="preserve">Automated</t>
  </si>
  <si>
    <t xml:space="preserve">Manual only</t>
  </si>
  <si>
    <t xml:space="preserve">By execution status</t>
  </si>
  <si>
    <t xml:space="preserve">Pass</t>
  </si>
  <si>
    <t xml:space="preserve">Fail</t>
  </si>
  <si>
    <t xml:space="preserve">Blocked</t>
  </si>
  <si>
    <t xml:space="preserve">Skipped</t>
  </si>
  <si>
    <t xml:space="preserve">By defect type (failed tests)</t>
  </si>
  <si>
    <t xml:space="preserve">Expected seeded (candidate)</t>
  </si>
  <si>
    <t xml:space="preserve">Unexpected</t>
  </si>
  <si>
    <t xml:space="preserve">Automation issue</t>
  </si>
  <si>
    <t xml:space="preserve">Environment/data</t>
  </si>
  <si>
    <t xml:space="preserve">Traceability checks</t>
  </si>
  <si>
    <t xml:space="preserve">Covered</t>
  </si>
  <si>
    <t xml:space="preserve">Gaps</t>
  </si>
  <si>
    <t xml:space="preserve">P1 risks with at least one test case</t>
  </si>
  <si>
    <t xml:space="preserve">Risks of type "Test cases" covered</t>
  </si>
  <si>
    <t xml:space="preserve">Candidate seeded defects with a test case</t>
  </si>
  <si>
    <t xml:space="preserve">SDC-20 (evidence capture) is handled in Playwright config, not by a test. R-AUTH-07 (MFA/OTP) is out of scope (Q-06).</t>
  </si>
  <si>
    <t xml:space="preserve">Open item</t>
  </si>
  <si>
    <t xml:space="preserve">Related Q</t>
  </si>
  <si>
    <t xml:space="preserve">What we now know</t>
  </si>
  <si>
    <t xml:space="preserve">Tests still affected (live)</t>
  </si>
  <si>
    <t xml:space="preserve">Remaining action</t>
  </si>
  <si>
    <t xml:space="preserve">OI-01</t>
  </si>
  <si>
    <t xml:space="preserve">Insurance app base URL / port</t>
  </si>
  <si>
    <t xml:space="preserve">Q-01</t>
  </si>
  <si>
    <t xml:space="preserve">Port 8081 (A, M): http://&lt;vm-ip&gt;:8081</t>
  </si>
  <si>
    <t xml:space="preserve">Closed</t>
  </si>
  <si>
    <t xml:space="preserve">Set INSURANCE_BASE_URL in .env</t>
  </si>
  <si>
    <t xml:space="preserve">OI-02</t>
  </si>
  <si>
    <t xml:space="preserve">Seeded users per role</t>
  </si>
  <si>
    <t xml:space="preserve">Q-05</t>
  </si>
  <si>
    <t xml:space="preserve">Users and learner pool listed in Lab Manual 3.1 (M). MFA and admin users out of scope.</t>
  </si>
  <si>
    <t xml:space="preserve">Pick {learnerUser} and confirm {disposableAgent} with mentor</t>
  </si>
  <si>
    <t xml:space="preserve">OI-03</t>
  </si>
  <si>
    <t xml:space="preserve">MFA/OTP mechanism</t>
  </si>
  <si>
    <t xml:space="preserve">Q-06</t>
  </si>
  <si>
    <t xml:space="preserve">Answer: no MFA/OTP flow. Source has OTP for password reset and registration only.</t>
  </si>
  <si>
    <t xml:space="preserve">Confirm OTP screens are out of scope</t>
  </si>
  <si>
    <t xml:space="preserve">OI-04</t>
  </si>
  <si>
    <t xml:space="preserve">Database access (optional DB checks)</t>
  </si>
  <si>
    <t xml:space="preserve">Q-07</t>
  </si>
  <si>
    <t xml:space="preserve">MySQL per app config; .sql dump found in db-dumps (A, S). API remains the default state check.</t>
  </si>
  <si>
    <t xml:space="preserve">In progress</t>
  </si>
  <si>
    <t xml:space="preserve">Check whether read-only MySQL access exists on the VM</t>
  </si>
  <si>
    <t xml:space="preserve">OI-05</t>
  </si>
  <si>
    <t xml:space="preserve">API contract and setup</t>
  </si>
  <si>
    <t xml:space="preserve">Q-08</t>
  </si>
  <si>
    <t xml:space="preserve">Static X-API-Key, agent_email scoping, POST /api/applications, envelope (S). See Environment_Facts section 3.</t>
  </si>
  <si>
    <t xml:space="preserve">Confirm request payload names at first run</t>
  </si>
  <si>
    <t xml:space="preserve">OI-06</t>
  </si>
  <si>
    <t xml:space="preserve">Age rule and message</t>
  </si>
  <si>
    <t xml:space="preserve">Q-09</t>
  </si>
  <si>
    <t xml:space="preserve">18 to 65 inclusive; message "Client age must be between 18 and 65 years." (A, S)</t>
  </si>
  <si>
    <t xml:space="preserve">Confirm in UI where the message appears</t>
  </si>
  <si>
    <t xml:space="preserve">OI-07</t>
  </si>
  <si>
    <t xml:space="preserve">Face value limits and terms</t>
  </si>
  <si>
    <t xml:space="preserve">Limits per product and term options known (S).</t>
  </si>
  <si>
    <t xml:space="preserve">Confirm against product-range-help text</t>
  </si>
  <si>
    <t xml:space="preserve">OI-08</t>
  </si>
  <si>
    <t xml:space="preserve">Max 4; age ranges; exclusive waiver pair; caps; base minimums (S).</t>
  </si>
  <si>
    <t xml:space="preserve">Upload rules</t>
  </si>
  <si>
    <t xml:space="preserve">PDF/JPG/PNG, 5 MB, required KYC_ID (S).</t>
  </si>
  <si>
    <t xml:space="preserve">Check PHP upload_max_filesize / post_max_size &gt;= 5 MB</t>
  </si>
  <si>
    <t xml:space="preserve">OI-10</t>
  </si>
  <si>
    <t xml:space="preserve">Full rule list known (S).</t>
  </si>
  <si>
    <t xml:space="preserve">Affordability and suitability</t>
  </si>
  <si>
    <t xml:space="preserve">Affordability 20% of income (S). Suitability text and risk-profile rule not stated.</t>
  </si>
  <si>
    <t xml:space="preserve">Capture suitability message; confirm annualised premium comparison</t>
  </si>
  <si>
    <t xml:space="preserve">OI-12</t>
  </si>
  <si>
    <t xml:space="preserve">Reference number and statuses</t>
  </si>
  <si>
    <t xml:space="preserve">WL + yyyymmdd + 5 digits; statuses listed (S). Approved and later out of scope.</t>
  </si>
  <si>
    <t xml:space="preserve">SSN mask format</t>
  </si>
  <si>
    <t xml:space="preserve">Q-18</t>
  </si>
  <si>
    <t xml:space="preserve">Q-18 not answered. Derived from source: all but last 4 replaced by *; stored masked + hash.</t>
  </si>
  <si>
    <t xml:space="preserve">Confirm mask in UI and ask mentor whether API must also be masked</t>
  </si>
  <si>
    <t xml:space="preserve">Lockout details</t>
  </si>
  <si>
    <t xml:space="preserve">Q-10</t>
  </si>
  <si>
    <t xml:space="preserve">Dedicated locked user exists (A, M). Lock is time-based (locked_until). Threshold 5 per docs.</t>
  </si>
  <si>
    <t xml:space="preserve">Observe lock duration; confirm disposable account</t>
  </si>
  <si>
    <t xml:space="preserve">Exact messages and a few UI behaviours</t>
  </si>
  <si>
    <t xml:space="preserve">Walkthrough</t>
  </si>
  <si>
    <t xml:space="preserve">Test ids known (S). Open: where age error appears, dashboard filter control, questionnaire UI, read-only UI after submit.</t>
  </si>
  <si>
    <t xml:space="preserve">First-run capture; log observations</t>
  </si>
  <si>
    <t xml:space="preserve">OI-16</t>
  </si>
  <si>
    <t xml:space="preserve">Status values / history</t>
  </si>
  <si>
    <t xml:space="preserve">Q-15</t>
  </si>
  <si>
    <t xml:space="preserve">Statuses known (S); Approved out of scope (A).</t>
  </si>
  <si>
    <t xml:space="preserve">OI-17</t>
  </si>
  <si>
    <t xml:space="preserve">Premium formula and rounding</t>
  </si>
  <si>
    <t xml:space="preserve">A-18</t>
  </si>
  <si>
    <t xml:space="preserve">Formula reproduces seed data to the cent (Calculators).</t>
  </si>
  <si>
    <t xml:space="preserve">Confirm UI value at first run</t>
  </si>
  <si>
    <t xml:space="preserve">API error bodies</t>
  </si>
  <si>
    <t xml:space="preserve">Doc 05 B4</t>
  </si>
  <si>
    <t xml:space="preserve">Status codes and envelopes known (S). Field-level error keys to capture.</t>
  </si>
  <si>
    <t xml:space="preserve">Capture bodies at first run</t>
  </si>
  <si>
    <t xml:space="preserve">Ref</t>
  </si>
  <si>
    <t xml:space="preserve">Change</t>
  </si>
  <si>
    <t xml:space="preserve">Test cases affected</t>
  </si>
  <si>
    <t xml:space="preserve">C-01</t>
  </si>
  <si>
    <t xml:space="preserve">Answer Q-01</t>
  </si>
  <si>
    <t xml:space="preserve">Insurance app is on port 8081. Base URL variable INSURANCE_BASE_URL.</t>
  </si>
  <si>
    <t xml:space="preserve">C-02</t>
  </si>
  <si>
    <t xml:space="preserve">Answer Q-02</t>
  </si>
  <si>
    <t xml:space="preserve">Playwright with TypeScript confirmed.</t>
  </si>
  <si>
    <t xml:space="preserve">C-03</t>
  </si>
  <si>
    <t xml:space="preserve">Answer Q-03, Q-17</t>
  </si>
  <si>
    <t xml:space="preserve">No seeded-defect catalog is provided. SDC-01..SDC-20 remain candidates; added "Defect type (if Fail)" so expected-seeded and unexpected defects are reported separately.</t>
  </si>
  <si>
    <t xml:space="preserve">All (new column)</t>
  </si>
  <si>
    <t xml:space="preserve">C-04</t>
  </si>
  <si>
    <t xml:space="preserve">Answer Q-04</t>
  </si>
  <si>
    <t xml:space="preserve">Submission 1 format is the reference; no external template.</t>
  </si>
  <si>
    <t xml:space="preserve">C-05</t>
  </si>
  <si>
    <t xml:space="preserve">Lab Manual 3.1, Q-05, Q-10</t>
  </si>
  <si>
    <t xml:space="preserve">Usernames filled in Test_Data; {lockedAgent} = agent.locked@insurance.test. Passwords and API key stay in .env.</t>
  </si>
  <si>
    <t xml:space="preserve">AUTH-*, DASH-*, API-*</t>
  </si>
  <si>
    <t xml:space="preserve">C-06</t>
  </si>
  <si>
    <t xml:space="preserve">Answer Q-06</t>
  </si>
  <si>
    <t xml:space="preserve">MFA/OTP out of scope; R-AUTH-07 closed. Observation: OTP screens exist for reset/registration, so password-policy checks use /change-password.</t>
  </si>
  <si>
    <t xml:space="preserve">C-07</t>
  </si>
  <si>
    <t xml:space="preserve">Answer Q-08 + zip</t>
  </si>
  <si>
    <t xml:space="preserve">API contract applied: static X-API-Key (not a token), agent_email scoping, POST /api/login, POST /api/applications for setup, 401 "Unauthorized" without key. Replaced "replay old token" step with session-cookie reuse.</t>
  </si>
  <si>
    <t xml:space="preserve">AUTH-V04, API-V01..V08, API-P01, API-P02</t>
  </si>
  <si>
    <t xml:space="preserve">C-08</t>
  </si>
  <si>
    <t xml:space="preserve">Answer Q-09 + zip</t>
  </si>
  <si>
    <t xml:space="preserve">Limits and rules applied: age 18-65 inclusive, products and riders tables, max 4 riders, exclusive waivers, 20% affordability, 5 MB PDF/JPG/PNG, password policy, US phone/ZIP/state, reference format, premium formula.</t>
  </si>
  <si>
    <t xml:space="preserve">CLI-*, ADR-*, KYC-*, PROD-*, RIDER-*, DOC-*, WF-V03</t>
  </si>
  <si>
    <t xml:space="preserve">C-09</t>
  </si>
  <si>
    <t xml:space="preserve">Answer Q-11, Q-15</t>
  </si>
  <si>
    <t xml:space="preserve">Session timeout, admin and Approved status excluded. DASH-V05 now checks Draft/Submitted and API ?status=; Approved removed.</t>
  </si>
  <si>
    <t xml:space="preserve">C-10</t>
  </si>
  <si>
    <t xml:space="preserve">Answer Q-12</t>
  </si>
  <si>
    <t xml:space="preserve">Chromium default; Firefox/WebKit via config.</t>
  </si>
  <si>
    <t xml:space="preserve">C-11</t>
  </si>
  <si>
    <t xml:space="preserve">Answer Q-13</t>
  </si>
  <si>
    <t xml:space="preserve">Build GitHub Actions workflow, run manually from the VM, document the limitation (R-ENV-03 decision).</t>
  </si>
  <si>
    <t xml:space="preserve">C-12</t>
  </si>
  <si>
    <t xml:space="preserve">Answer Q-14</t>
  </si>
  <si>
    <t xml:space="preserve">VM is dedicated; start with 1 worker anyway to avoid concurrency artifacts.</t>
  </si>
  <si>
    <t xml:space="preserve">C-13</t>
  </si>
  <si>
    <t xml:space="preserve">Answer Q-16</t>
  </si>
  <si>
    <t xml:space="preserve">Scope unchanged at 81 tests; added "Priority basis" column showing the risk that sets each priority.</t>
  </si>
  <si>
    <t xml:space="preserve">C-14</t>
  </si>
  <si>
    <t xml:space="preserve">Zip: markup</t>
  </si>
  <si>
    <t xml:space="preserve">New column "UI selectors / API contract" with real data-testid values. Login ids differ from the Lab Manual sample.</t>
  </si>
  <si>
    <t xml:space="preserve">C-15</t>
  </si>
  <si>
    <t xml:space="preserve">Zip: UI structure</t>
  </si>
  <si>
    <t xml:space="preserve">CLI-V09 moved to the Documents page (no upload on the KYC form) and separated from DOC-V02; WF-V01 wording adapted (no Save draft button); VAL-V03 uses disabled-submit logic from review errors; AUTH-V08 is UI-only (no password API).</t>
  </si>
  <si>
    <t xml:space="preserve">CLI-V09, DOC-V02, WF-V01, VAL-V03, AUTH-V08</t>
  </si>
  <si>
    <t xml:space="preserve">C-16</t>
  </si>
  <si>
    <t xml:space="preserve">Calculators</t>
  </si>
  <si>
    <t xml:space="preserve">Expected premiums computed by formula; formula reproduces the two seed examples.</t>
  </si>
  <si>
    <t xml:space="preserve">PROD-V05, PROD-V06, RIDER-V07, KYC-P01</t>
  </si>
  <si>
    <t xml:space="preserve">C-17</t>
  </si>
  <si>
    <t xml:space="preserve">Open items</t>
  </si>
  <si>
    <t xml:space="preserve">11 of 18 items closed or out of scope; 7 in progress (DB access, upload PHP limit, suitability text, SSN mask confirmation, lockout details, first-run UI behaviours, API error bodies).</t>
  </si>
  <si>
    <t xml:space="preserve">C-18</t>
  </si>
  <si>
    <t xml:space="preserve">Process note</t>
  </si>
  <si>
    <t xml:space="preserve">While reading validation code I saw seeded-defect switch names. They are not used or listed in this workbook, and the seeded-defect seeder, .bak files and docs folder were not opened.</t>
  </si>
  <si>
    <t xml:space="preserve">Page (view)</t>
  </si>
  <si>
    <t xml:space="preserve">Page object</t>
  </si>
  <si>
    <t xml:space="preserve">data-testid</t>
  </si>
  <si>
    <t xml:space="preserve">Dynamic?</t>
  </si>
  <si>
    <t xml:space="preserve">address-contact/edit</t>
  </si>
  <si>
    <t xml:space="preserve">/applications/{id}/address-contact</t>
  </si>
  <si>
    <t xml:space="preserve">address-contact-form</t>
  </si>
  <si>
    <t xml:space="preserve">address-contact-page</t>
  </si>
  <si>
    <t xml:space="preserve">address-contact-save-continue-button</t>
  </si>
  <si>
    <t xml:space="preserve">address-same-as-residential-checkbox</t>
  </si>
  <si>
    <t xml:space="preserve">contact-alternate-phone-input</t>
  </si>
  <si>
    <t xml:space="preserve">contact-mobile-number-input</t>
  </si>
  <si>
    <t xml:space="preserve">mailing-address-line-1-input</t>
  </si>
  <si>
    <t xml:space="preserve">mailing-address-line-2-input</t>
  </si>
  <si>
    <t xml:space="preserve">mailing-city-input</t>
  </si>
  <si>
    <t xml:space="preserve">mailing-postal-code-input</t>
  </si>
  <si>
    <t xml:space="preserve">mailing-state-province-select</t>
  </si>
  <si>
    <t xml:space="preserve">residential-address-line-1-input</t>
  </si>
  <si>
    <t xml:space="preserve">residential-address-line-2-input</t>
  </si>
  <si>
    <t xml:space="preserve">residential-city-input</t>
  </si>
  <si>
    <t xml:space="preserve">residential-postal-code-input</t>
  </si>
  <si>
    <t xml:space="preserve">residential-state-province-select</t>
  </si>
  <si>
    <t xml:space="preserve">applications/index</t>
  </si>
  <si>
    <t xml:space="preserve">/applications</t>
  </si>
  <si>
    <t xml:space="preserve">application-new-button</t>
  </si>
  <si>
    <t xml:space="preserve">application-open-{id}</t>
  </si>
  <si>
    <t xml:space="preserve">Yes</t>
  </si>
  <si>
    <t xml:space="preserve">application-row-{id}</t>
  </si>
  <si>
    <t xml:space="preserve">applications-index-page</t>
  </si>
  <si>
    <t xml:space="preserve">applications-table</t>
  </si>
  <si>
    <t xml:space="preserve">applications/show</t>
  </si>
  <si>
    <t xml:space="preserve">/applications/{id}</t>
  </si>
  <si>
    <t xml:space="preserve">Shared / n.a.</t>
  </si>
  <si>
    <t xml:space="preserve">application-summary-page</t>
  </si>
  <si>
    <t xml:space="preserve">application-total-premium</t>
  </si>
  <si>
    <t xml:space="preserve">applications/start</t>
  </si>
  <si>
    <t xml:space="preserve">/applications/new</t>
  </si>
  <si>
    <t xml:space="preserve">application-create-draft-button</t>
  </si>
  <si>
    <t xml:space="preserve">application-start-cancel-link</t>
  </si>
  <si>
    <t xml:space="preserve">application-start-form</t>
  </si>
  <si>
    <t xml:space="preserve">application-start-page</t>
  </si>
  <si>
    <t xml:space="preserve">auth/change-password</t>
  </si>
  <si>
    <t xml:space="preserve">/change-password</t>
  </si>
  <si>
    <t xml:space="preserve">LoginPage (account)</t>
  </si>
  <si>
    <t xml:space="preserve">change-password-confirm</t>
  </si>
  <si>
    <t xml:space="preserve">change-password-current</t>
  </si>
  <si>
    <t xml:space="preserve">change-password-form</t>
  </si>
  <si>
    <t xml:space="preserve">change-password-logout</t>
  </si>
  <si>
    <t xml:space="preserve">change-password-new</t>
  </si>
  <si>
    <t xml:space="preserve">change-password-page</t>
  </si>
  <si>
    <t xml:space="preserve">change-password-status</t>
  </si>
  <si>
    <t xml:space="preserve">change-password-strength</t>
  </si>
  <si>
    <t xml:space="preserve">change-password-submit</t>
  </si>
  <si>
    <t xml:space="preserve">auth/forgot-password</t>
  </si>
  <si>
    <t xml:space="preserve">/forgot-password</t>
  </si>
  <si>
    <t xml:space="preserve">back-to-login-link</t>
  </si>
  <si>
    <t xml:space="preserve">forgot-password-email-input</t>
  </si>
  <si>
    <t xml:space="preserve">forgot-password-form</t>
  </si>
  <si>
    <t xml:space="preserve">forgot-password-status</t>
  </si>
  <si>
    <t xml:space="preserve">forgot-password-submit-button</t>
  </si>
  <si>
    <t xml:space="preserve">auth/login</t>
  </si>
  <si>
    <t xml:space="preserve">/login</t>
  </si>
  <si>
    <t xml:space="preserve">agent-registration-link</t>
  </si>
  <si>
    <t xml:space="preserve">forgot-password-link</t>
  </si>
  <si>
    <t xml:space="preserve">login-demo-hint</t>
  </si>
  <si>
    <t xml:space="preserve">login-email-input</t>
  </si>
  <si>
    <t xml:space="preserve">login-form</t>
  </si>
  <si>
    <t xml:space="preserve">login-password-input</t>
  </si>
  <si>
    <t xml:space="preserve">login-submit-button</t>
  </si>
  <si>
    <t xml:space="preserve">auth/register</t>
  </si>
  <si>
    <t xml:space="preserve">/register</t>
  </si>
  <si>
    <t xml:space="preserve">agent-registration-email</t>
  </si>
  <si>
    <t xml:space="preserve">agent-registration-form</t>
  </si>
  <si>
    <t xml:space="preserve">agent-registration-license</t>
  </si>
  <si>
    <t xml:space="preserve">agent-registration-login-link</t>
  </si>
  <si>
    <t xml:space="preserve">agent-registration-page</t>
  </si>
  <si>
    <t xml:space="preserve">agent-registration-password</t>
  </si>
  <si>
    <t xml:space="preserve">agent-registration-password-confirmation</t>
  </si>
  <si>
    <t xml:space="preserve">agent-registration-phone</t>
  </si>
  <si>
    <t xml:space="preserve">agent-registration-submit</t>
  </si>
  <si>
    <t xml:space="preserve">password-strength-text</t>
  </si>
  <si>
    <t xml:space="preserve">auth/reset-password-otp</t>
  </si>
  <si>
    <t xml:space="preserve">/reset-password-otp</t>
  </si>
  <si>
    <t xml:space="preserve">reset-password-otp-form</t>
  </si>
  <si>
    <t xml:space="preserve">reset-password-otp-input</t>
  </si>
  <si>
    <t xml:space="preserve">reset-password-otp-submit</t>
  </si>
  <si>
    <t xml:space="preserve">auth/reset-password</t>
  </si>
  <si>
    <t xml:space="preserve">/reset-password</t>
  </si>
  <si>
    <t xml:space="preserve">reset-password-confirm</t>
  </si>
  <si>
    <t xml:space="preserve">reset-password-form</t>
  </si>
  <si>
    <t xml:space="preserve">reset-password-new</t>
  </si>
  <si>
    <t xml:space="preserve">reset-password-status</t>
  </si>
  <si>
    <t xml:space="preserve">reset-password-submit</t>
  </si>
  <si>
    <t xml:space="preserve">auth/verify-otp</t>
  </si>
  <si>
    <t xml:space="preserve">/verify-otp</t>
  </si>
  <si>
    <t xml:space="preserve">email-otp-form</t>
  </si>
  <si>
    <t xml:space="preserve">email-otp-input</t>
  </si>
  <si>
    <t xml:space="preserve">email-otp-page</t>
  </si>
  <si>
    <t xml:space="preserve">email-otp-submit</t>
  </si>
  <si>
    <t xml:space="preserve">beneficiaries/edit</t>
  </si>
  <si>
    <t xml:space="preserve">/applications/{id}/beneficiaries (edit mode)</t>
  </si>
  <si>
    <t xml:space="preserve">beneficiary-address-line-1-input</t>
  </si>
  <si>
    <t xml:space="preserve">beneficiary-allocation-input</t>
  </si>
  <si>
    <t xml:space="preserve">beneficiary-allocation-summary</t>
  </si>
  <si>
    <t xml:space="preserve">beneficiary-cancel-edit-button</t>
  </si>
  <si>
    <t xml:space="preserve">beneficiary-city-input</t>
  </si>
  <si>
    <t xml:space="preserve">beneficiary-continue-button</t>
  </si>
  <si>
    <t xml:space="preserve">beneficiary-country-input</t>
  </si>
  <si>
    <t xml:space="preserve">beneficiary-delete-{id}</t>
  </si>
  <si>
    <t xml:space="preserve">beneficiary-designation-select</t>
  </si>
  <si>
    <t xml:space="preserve">beneficiary-dob-input</t>
  </si>
  <si>
    <t xml:space="preserve">beneficiary-edit-{id}</t>
  </si>
  <si>
    <t xml:space="preserve">beneficiary-email-input</t>
  </si>
  <si>
    <t xml:space="preserve">beneficiary-empty-state</t>
  </si>
  <si>
    <t xml:space="preserve">beneficiary-error-summary</t>
  </si>
  <si>
    <t xml:space="preserve">beneficiary-first-name-input</t>
  </si>
  <si>
    <t xml:space="preserve">beneficiary-form</t>
  </si>
  <si>
    <t xml:space="preserve">beneficiary-gender-select</t>
  </si>
  <si>
    <t xml:space="preserve">beneficiary-guardian-address-input</t>
  </si>
  <si>
    <t xml:space="preserve">beneficiary-guardian-contact-input</t>
  </si>
  <si>
    <t xml:space="preserve">beneficiary-guardian-name-input</t>
  </si>
  <si>
    <t xml:space="preserve">beneficiary-guardian-relationship-input</t>
  </si>
  <si>
    <t xml:space="preserve">beneficiary-irrevocable-badge-{id}</t>
  </si>
  <si>
    <t xml:space="preserve">beneficiary-last-name-input</t>
  </si>
  <si>
    <t xml:space="preserve">beneficiary-legal-acknowledgement-checkbox</t>
  </si>
  <si>
    <t xml:space="preserve">beneficiary-level-select</t>
  </si>
  <si>
    <t xml:space="preserve">beneficiary-locked-{id}</t>
  </si>
  <si>
    <t xml:space="preserve">beneficiary-middle-name-input</t>
  </si>
  <si>
    <t xml:space="preserve">beneficiary-organization-contact-input</t>
  </si>
  <si>
    <t xml:space="preserve">beneficiary-organization-name-input</t>
  </si>
  <si>
    <t xml:space="preserve">beneficiary-organization-registration-input</t>
  </si>
  <si>
    <t xml:space="preserve">beneficiary-page</t>
  </si>
  <si>
    <t xml:space="preserve">beneficiary-phone-input</t>
  </si>
  <si>
    <t xml:space="preserve">beneficiary-postal-code-input</t>
  </si>
  <si>
    <t xml:space="preserve">beneficiary-relationship-select</t>
  </si>
  <si>
    <t xml:space="preserve">beneficiary-revocable-badge-{id}</t>
  </si>
  <si>
    <t xml:space="preserve">beneficiary-row-{id}</t>
  </si>
  <si>
    <t xml:space="preserve">beneficiary-save-button</t>
  </si>
  <si>
    <t xml:space="preserve">beneficiary-state-input</t>
  </si>
  <si>
    <t xml:space="preserve">beneficiary-table</t>
  </si>
  <si>
    <t xml:space="preserve">beneficiary-trust-date-input</t>
  </si>
  <si>
    <t xml:space="preserve">beneficiary-trust-name-input</t>
  </si>
  <si>
    <t xml:space="preserve">beneficiary-trustee-contact-input</t>
  </si>
  <si>
    <t xml:space="preserve">beneficiary-trustee-name-input</t>
  </si>
  <si>
    <t xml:space="preserve">beneficiary-type-select</t>
  </si>
  <si>
    <t xml:space="preserve">estate-assignment-fallback-message</t>
  </si>
  <si>
    <t xml:space="preserve">minor-guardian-section</t>
  </si>
  <si>
    <t xml:space="preserve">beneficiaries/index</t>
  </si>
  <si>
    <t xml:space="preserve">/applications/{id}/beneficiaries</t>
  </si>
  <si>
    <t xml:space="preserve">client-information/edit</t>
  </si>
  <si>
    <t xml:space="preserve">/applications/{id}/client</t>
  </si>
  <si>
    <t xml:space="preserve">client-back-overview-link</t>
  </si>
  <si>
    <t xml:space="preserve">client-dob-input</t>
  </si>
  <si>
    <t xml:space="preserve">client-employer-address-input</t>
  </si>
  <si>
    <t xml:space="preserve">client-employer-name-input</t>
  </si>
  <si>
    <t xml:space="preserve">client-first-name-input</t>
  </si>
  <si>
    <t xml:space="preserve">client-gender-select</t>
  </si>
  <si>
    <t xml:space="preserve">client-information-form</t>
  </si>
  <si>
    <t xml:space="preserve">client-information-page</t>
  </si>
  <si>
    <t xml:space="preserve">client-last-name-input</t>
  </si>
  <si>
    <t xml:space="preserve">client-marital-status-select</t>
  </si>
  <si>
    <t xml:space="preserve">client-middle-name-input</t>
  </si>
  <si>
    <t xml:space="preserve">client-nationality-input</t>
  </si>
  <si>
    <t xml:space="preserve">client-occupation-input</t>
  </si>
  <si>
    <t xml:space="preserve">client-save-continue-button</t>
  </si>
  <si>
    <t xml:space="preserve">dashboard/index</t>
  </si>
  <si>
    <t xml:space="preserve">/dashboard</t>
  </si>
  <si>
    <t xml:space="preserve">application-status-{id}</t>
  </si>
  <si>
    <t xml:space="preserve">dashboard-applications-table</t>
  </si>
  <si>
    <t xml:space="preserve">dashboard-empty-state</t>
  </si>
  <si>
    <t xml:space="preserve">dashboard-new-application-button</t>
  </si>
  <si>
    <t xml:space="preserve">dashboard-page</t>
  </si>
  <si>
    <t xml:space="preserve">dashboard-summary-{id}</t>
  </si>
  <si>
    <t xml:space="preserve">dashboard-view-all-applications-link</t>
  </si>
  <si>
    <t xml:space="preserve">documents/edit</t>
  </si>
  <si>
    <t xml:space="preserve">/applications/{id}/documents</t>
  </si>
  <si>
    <t xml:space="preserve">document-delete-{id}</t>
  </si>
  <si>
    <t xml:space="preserve">document-file-name-input</t>
  </si>
  <si>
    <t xml:space="preserve">document-row-{id}</t>
  </si>
  <si>
    <t xml:space="preserve">document-type-select</t>
  </si>
  <si>
    <t xml:space="preserve">document-upload-button</t>
  </si>
  <si>
    <t xml:space="preserve">document-upload-form</t>
  </si>
  <si>
    <t xml:space="preserve">document-upload-kyc</t>
  </si>
  <si>
    <t xml:space="preserve">documents-continue-review-button</t>
  </si>
  <si>
    <t xml:space="preserve">documents-empty-state</t>
  </si>
  <si>
    <t xml:space="preserve">documents-page</t>
  </si>
  <si>
    <t xml:space="preserve">documents-table</t>
  </si>
  <si>
    <t xml:space="preserve">kyc-financial/edit</t>
  </si>
  <si>
    <t xml:space="preserve">/applications/{id}/kyc-financial</t>
  </si>
  <si>
    <t xml:space="preserve">compliance-declaration-checkbox</t>
  </si>
  <si>
    <t xml:space="preserve">compliance-pep-details-input</t>
  </si>
  <si>
    <t xml:space="preserve">compliance-pep-select</t>
  </si>
  <si>
    <t xml:space="preserve">financial-annual-income-input</t>
  </si>
  <si>
    <t xml:space="preserve">financial-net-worth-input</t>
  </si>
  <si>
    <t xml:space="preserve">financial-risk-profile-select</t>
  </si>
  <si>
    <t xml:space="preserve">financial-source-of-funds-select</t>
  </si>
  <si>
    <t xml:space="preserve">kyc-expiry-date-input</t>
  </si>
  <si>
    <t xml:space="preserve">kyc-financial-form</t>
  </si>
  <si>
    <t xml:space="preserve">kyc-financial-page</t>
  </si>
  <si>
    <t xml:space="preserve">kyc-financial-save-continue-button</t>
  </si>
  <si>
    <t xml:space="preserve">kyc-id-number-input</t>
  </si>
  <si>
    <t xml:space="preserve">kyc-id-type-select</t>
  </si>
  <si>
    <t xml:space="preserve">kyc-issue-date-input</t>
  </si>
  <si>
    <t xml:space="preserve">layouts/app</t>
  </si>
  <si>
    <t xml:space="preserve">All pages</t>
  </si>
  <si>
    <t xml:space="preserve">app-layout</t>
  </si>
  <si>
    <t xml:space="preserve">layouts/auth</t>
  </si>
  <si>
    <t xml:space="preserve">Auth pages</t>
  </si>
  <si>
    <t xml:space="preserve">auth-card</t>
  </si>
  <si>
    <t xml:space="preserve">auth-layout</t>
  </si>
  <si>
    <t xml:space="preserve">partials/alerts</t>
  </si>
  <si>
    <t xml:space="preserve">All pages (alerts)</t>
  </si>
  <si>
    <t xml:space="preserve">status-alert</t>
  </si>
  <si>
    <t xml:space="preserve">validation-error-alert</t>
  </si>
  <si>
    <t xml:space="preserve">partials/footer</t>
  </si>
  <si>
    <t xml:space="preserve">app-footer</t>
  </si>
  <si>
    <t xml:space="preserve">partials/nav</t>
  </si>
  <si>
    <t xml:space="preserve">All pages (navigation)</t>
  </si>
  <si>
    <t xml:space="preserve">main-navigation</t>
  </si>
  <si>
    <t xml:space="preserve">nav-admin-products-link</t>
  </si>
  <si>
    <t xml:space="preserve">nav-admin-users-link</t>
  </si>
  <si>
    <t xml:space="preserve">nav-applications-link</t>
  </si>
  <si>
    <t xml:space="preserve">nav-brand</t>
  </si>
  <si>
    <t xml:space="preserve">nav-dashboard-link</t>
  </si>
  <si>
    <t xml:space="preserve">nav-logout-button</t>
  </si>
  <si>
    <t xml:space="preserve">nav-products-link</t>
  </si>
  <si>
    <t xml:space="preserve">nav-profile-link</t>
  </si>
  <si>
    <t xml:space="preserve">nav-support-link</t>
  </si>
  <si>
    <t xml:space="preserve">partials/workflow-navigation</t>
  </si>
  <si>
    <t xml:space="preserve">Application steps (navigation)</t>
  </si>
  <si>
    <t xml:space="preserve">workflow-back-button</t>
  </si>
  <si>
    <t xml:space="preserve">workflow-navigation</t>
  </si>
  <si>
    <t xml:space="preserve">workflow-summary-button</t>
  </si>
  <si>
    <t xml:space="preserve">product-configuration/edit</t>
  </si>
  <si>
    <t xml:space="preserve">/applications/{id}/product</t>
  </si>
  <si>
    <t xml:space="preserve">ProductConfigurationPage</t>
  </si>
  <si>
    <t xml:space="preserve">premium-preview-help</t>
  </si>
  <si>
    <t xml:space="preserve">product-configuration-form</t>
  </si>
  <si>
    <t xml:space="preserve">product-configuration-page</t>
  </si>
  <si>
    <t xml:space="preserve">product-coverage-term-select</t>
  </si>
  <si>
    <t xml:space="preserve">product-current-total-premium</t>
  </si>
  <si>
    <t xml:space="preserve">product-payment-term-select</t>
  </si>
  <si>
    <t xml:space="preserve">product-premium-frequency-select</t>
  </si>
  <si>
    <t xml:space="preserve">product-range-help</t>
  </si>
  <si>
    <t xml:space="preserve">product-save-continue-button</t>
  </si>
  <si>
    <t xml:space="preserve">product-select</t>
  </si>
  <si>
    <t xml:space="preserve">product-sum-assured-input</t>
  </si>
  <si>
    <t xml:space="preserve">products/index</t>
  </si>
  <si>
    <t xml:space="preserve">/products</t>
  </si>
  <si>
    <t xml:space="preserve">ProductCatalogPage</t>
  </si>
  <si>
    <t xml:space="preserve">product-card-{id}</t>
  </si>
  <si>
    <t xml:space="preserve">product-catalog-page</t>
  </si>
  <si>
    <t xml:space="preserve">product-details-{id}</t>
  </si>
  <si>
    <t xml:space="preserve">products-empty-state</t>
  </si>
  <si>
    <t xml:space="preserve">products/show</t>
  </si>
  <si>
    <t xml:space="preserve">/products/{product}</t>
  </si>
  <si>
    <t xml:space="preserve">product-code</t>
  </si>
  <si>
    <t xml:space="preserve">product-detail-page</t>
  </si>
  <si>
    <t xml:space="preserve">product-features</t>
  </si>
  <si>
    <t xml:space="preserve">product-name</t>
  </si>
  <si>
    <t xml:space="preserve">products-back-link</t>
  </si>
  <si>
    <t xml:space="preserve">profile/show</t>
  </si>
  <si>
    <t xml:space="preserve">/profile</t>
  </si>
  <si>
    <t xml:space="preserve">profile-email</t>
  </si>
  <si>
    <t xml:space="preserve">profile-license-number</t>
  </si>
  <si>
    <t xml:space="preserve">profile-name</t>
  </si>
  <si>
    <t xml:space="preserve">profile-page</t>
  </si>
  <si>
    <t xml:space="preserve">review/show</t>
  </si>
  <si>
    <t xml:space="preserve">/applications/{id}/review</t>
  </si>
  <si>
    <t xml:space="preserve">review-application-snapshot</t>
  </si>
  <si>
    <t xml:space="preserve">review-back-button</t>
  </si>
  <si>
    <t xml:space="preserve">review-client-calculated-age</t>
  </si>
  <si>
    <t xml:space="preserve">review-page</t>
  </si>
  <si>
    <t xml:space="preserve">review-submit-application-button</t>
  </si>
  <si>
    <t xml:space="preserve">review-submit-form</t>
  </si>
  <si>
    <t xml:space="preserve">review-total-premium</t>
  </si>
  <si>
    <t xml:space="preserve">review-validate-button</t>
  </si>
  <si>
    <t xml:space="preserve">review-validate-form</t>
  </si>
  <si>
    <t xml:space="preserve">review-validation-errors</t>
  </si>
  <si>
    <t xml:space="preserve">review-validation-passed</t>
  </si>
  <si>
    <t xml:space="preserve">riders/edit</t>
  </si>
  <si>
    <t xml:space="preserve">/applications/{id}/riders</t>
  </si>
  <si>
    <t xml:space="preserve">rider-coverage-amount-{id}</t>
  </si>
  <si>
    <t xml:space="preserve">rider-premium-summary</t>
  </si>
  <si>
    <t xml:space="preserve">rider-row-{id}</t>
  </si>
  <si>
    <t xml:space="preserve">rider-save-continue-button</t>
  </si>
  <si>
    <t xml:space="preserve">rider-selected-{id}</t>
  </si>
  <si>
    <t xml:space="preserve">rider-selection-form</t>
  </si>
  <si>
    <t xml:space="preserve">riders-page</t>
  </si>
  <si>
    <t xml:space="preserve">status/show</t>
  </si>
  <si>
    <t xml:space="preserve">/applications/{id}/status</t>
  </si>
  <si>
    <t xml:space="preserve">ApplicationStatusPage</t>
  </si>
  <si>
    <t xml:space="preserve">status-current-value</t>
  </si>
  <si>
    <t xml:space="preserve">status-empty-state</t>
  </si>
  <si>
    <t xml:space="preserve">status-history-table</t>
  </si>
  <si>
    <t xml:space="preserve">status-page</t>
  </si>
  <si>
    <t xml:space="preserve">status-reference-number</t>
  </si>
  <si>
    <t xml:space="preserve">status-row-{id}</t>
  </si>
  <si>
    <t xml:space="preserve">submission/confirmation</t>
  </si>
  <si>
    <t xml:space="preserve">/applications/{id}/confirmation</t>
  </si>
  <si>
    <t xml:space="preserve">confirmation-dashboard-link</t>
  </si>
  <si>
    <t xml:space="preserve">confirmation-reference-number</t>
  </si>
  <si>
    <t xml:space="preserve">confirmation-view-status-link</t>
  </si>
  <si>
    <t xml:space="preserve">submission-confirmation-page</t>
  </si>
  <si>
    <t xml:space="preserve">support/confirmation</t>
  </si>
  <si>
    <t xml:space="preserve">/support (after submit)</t>
  </si>
  <si>
    <t xml:space="preserve">support-confirmation-dashboard-link</t>
  </si>
  <si>
    <t xml:space="preserve">support-confirmation-page</t>
  </si>
  <si>
    <t xml:space="preserve">support/create</t>
  </si>
  <si>
    <t xml:space="preserve">/support</t>
  </si>
  <si>
    <t xml:space="preserve">support-form</t>
  </si>
  <si>
    <t xml:space="preserve">support-message-input</t>
  </si>
  <si>
    <t xml:space="preserve">support-page</t>
  </si>
  <si>
    <t xml:space="preserve">support-subject-input</t>
  </si>
  <si>
    <t xml:space="preserve">support-submit-button</t>
  </si>
  <si>
    <t xml:space="preserve">Source: data-testid attributes in the application markup (read-only inspection). Verify each on first run; {id} = numeric id or product code. Login ids here (login-email-input, login-submit-button) differ from the sample in the Lab Manual (login-email, login-submit); use these.</t>
  </si>
</sst>
</file>

<file path=xl/styles.xml><?xml version="1.0" encoding="utf-8"?>
<styleSheet xmlns="http://schemas.openxmlformats.org/spreadsheetml/2006/main">
  <numFmts count="8">
    <numFmt numFmtId="164" formatCode="General"/>
    <numFmt numFmtId="165" formatCode="#,##0"/>
    <numFmt numFmtId="166" formatCode="0.00"/>
    <numFmt numFmtId="167" formatCode="#,##0.00"/>
    <numFmt numFmtId="168" formatCode="0"/>
    <numFmt numFmtId="169" formatCode="\+0;\-0;0"/>
    <numFmt numFmtId="170" formatCode="General"/>
    <numFmt numFmtId="171"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name val="Arial"/>
      <family val="0"/>
      <charset val="1"/>
    </font>
    <font>
      <b val="true"/>
      <sz val="9"/>
      <color rgb="FF000000"/>
      <name val="Arial"/>
      <family val="0"/>
      <charset val="1"/>
    </font>
    <font>
      <b val="true"/>
      <sz val="9"/>
      <color rgb="FFFFFFFF"/>
      <name val="Arial"/>
      <family val="0"/>
      <charset val="1"/>
    </font>
    <font>
      <b val="true"/>
      <sz val="9"/>
      <name val="Arial"/>
      <family val="0"/>
      <charset val="1"/>
    </font>
    <font>
      <i val="true"/>
      <sz val="9"/>
      <name val="Arial"/>
      <family val="0"/>
      <charset val="1"/>
    </font>
    <font>
      <sz val="9"/>
      <color rgb="FF0000FF"/>
      <name val="Arial"/>
      <family val="0"/>
      <charset val="1"/>
    </font>
    <font>
      <b val="true"/>
      <sz val="11"/>
      <color rgb="FF1F3864"/>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FCC"/>
        <bgColor rgb="FFFFF2CC"/>
      </patternFill>
    </fill>
    <fill>
      <patternFill patternType="solid">
        <fgColor rgb="FFF5F8FC"/>
        <bgColor rgb="FFFFFFFF"/>
      </patternFill>
    </fill>
    <fill>
      <patternFill patternType="solid">
        <fgColor rgb="FFDCE6F5"/>
        <bgColor rgb="FFD9EAD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10" fillId="0" borderId="1" xfId="0" applyFont="true" applyBorder="true" applyAlignment="true" applyProtection="false">
      <alignment horizontal="right" vertical="top" textRotation="0" wrapText="true" indent="0" shrinkToFit="false"/>
      <protection locked="true" hidden="false"/>
    </xf>
    <xf numFmtId="166" fontId="10" fillId="0" borderId="1" xfId="0" applyFont="true" applyBorder="true" applyAlignment="true" applyProtection="false">
      <alignment horizontal="right" vertical="top" textRotation="0" wrapText="true" indent="0" shrinkToFit="false"/>
      <protection locked="true" hidden="false"/>
    </xf>
    <xf numFmtId="167" fontId="5" fillId="0" borderId="1" xfId="0" applyFont="true" applyBorder="true" applyAlignment="true" applyProtection="false">
      <alignment horizontal="right" vertical="top"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9" fontId="5" fillId="0"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70" fontId="8" fillId="5" borderId="1" xfId="0" applyFont="true" applyBorder="true" applyAlignment="true" applyProtection="false">
      <alignment horizontal="center" vertical="top" textRotation="0" wrapText="true" indent="0" shrinkToFit="false"/>
      <protection locked="true" hidden="false"/>
    </xf>
    <xf numFmtId="169" fontId="8"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71" fontId="5"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F5F8FC"/>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FFE699"/>
          <bgColor rgb="FF000000"/>
        </patternFill>
      </fill>
    </dxf>
    <dxf>
      <fill>
        <patternFill patternType="solid">
          <fgColor rgb="FFFFFFCC"/>
          <bgColor rgb="FF000000"/>
        </patternFill>
      </fill>
    </dxf>
    <dxf>
      <fill>
        <patternFill>
          <bgColor rgb="FFF4CCCC"/>
        </patternFill>
      </fill>
    </dxf>
    <dxf>
      <fill>
        <patternFill>
          <bgColor rgb="FFFFF2CC"/>
        </patternFill>
      </fill>
    </dxf>
    <dxf>
      <fill>
        <patternFill>
          <bgColor rgb="FFD9EAD3"/>
        </patternFill>
      </fill>
    </dxf>
    <dxf>
      <fill>
        <patternFill>
          <bgColor rgb="FFC6E0B4"/>
        </patternFill>
      </fill>
    </dxf>
    <dxf>
      <fill>
        <patternFill>
          <bgColor rgb="FFF4B6B6"/>
        </patternFill>
      </fill>
    </dxf>
    <dxf>
      <fill>
        <patternFill>
          <bgColor rgb="FFFFE699"/>
        </patternFill>
      </fill>
    </dxf>
    <dxf>
      <fill>
        <patternFill>
          <bgColor rgb="FFD9D9D9"/>
        </patternFill>
      </fill>
    </dxf>
  </dxfs>
  <colors>
    <indexedColors>
      <rgbColor rgb="FF000000"/>
      <rgbColor rgb="FFFFFFFF"/>
      <rgbColor rgb="FFFF0000"/>
      <rgbColor rgb="FF00FF00"/>
      <rgbColor rgb="FF0000FF"/>
      <rgbColor rgb="FFFFF2CC"/>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5F8FC"/>
      <rgbColor rgb="FFD9EAD3"/>
      <rgbColor rgb="FFFFE699"/>
      <rgbColor rgb="FFC6E0B4"/>
      <rgbColor rgb="FFF4B6B6"/>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2"/>
  </cols>
  <sheetData>
    <row r="1" customFormat="false" ht="32.8" hidden="false" customHeight="false" outlineLevel="0" collapsed="false">
      <c r="A1" s="1" t="s">
        <v>0</v>
      </c>
      <c r="B1" s="2"/>
    </row>
    <row r="2" customFormat="false" ht="28.5" hidden="false" customHeight="true" outlineLevel="0" collapsed="false">
      <c r="A2" s="3" t="s">
        <v>1</v>
      </c>
      <c r="B2" s="2" t="s">
        <v>2</v>
      </c>
    </row>
    <row r="3" customFormat="false" ht="41.25" hidden="false" customHeight="true" outlineLevel="0" collapsed="false">
      <c r="A3" s="3" t="s">
        <v>3</v>
      </c>
      <c r="B3" s="2" t="s">
        <v>4</v>
      </c>
    </row>
    <row r="4" customFormat="false" ht="41.25" hidden="false" customHeight="true" outlineLevel="0" collapsed="false">
      <c r="A4" s="3" t="s">
        <v>5</v>
      </c>
      <c r="B4" s="2" t="s">
        <v>6</v>
      </c>
    </row>
    <row r="5" customFormat="false" ht="28.5" hidden="false" customHeight="true" outlineLevel="0" collapsed="false">
      <c r="A5" s="3" t="s">
        <v>7</v>
      </c>
      <c r="B5" s="2" t="s">
        <v>8</v>
      </c>
    </row>
    <row r="7" customFormat="false" ht="41.25" hidden="false" customHeight="true" outlineLevel="0" collapsed="false">
      <c r="A7" s="3" t="s">
        <v>9</v>
      </c>
      <c r="B7" s="2" t="s">
        <v>10</v>
      </c>
    </row>
    <row r="8" customFormat="false" ht="28.5" hidden="false" customHeight="true" outlineLevel="0" collapsed="false">
      <c r="A8" s="3" t="s">
        <v>11</v>
      </c>
      <c r="B8" s="2" t="s">
        <v>12</v>
      </c>
    </row>
    <row r="9" customFormat="false" ht="16.5" hidden="false" customHeight="true" outlineLevel="0" collapsed="false">
      <c r="A9" s="3" t="s">
        <v>13</v>
      </c>
      <c r="B9" s="2" t="s">
        <v>14</v>
      </c>
    </row>
    <row r="10" customFormat="false" ht="28.5" hidden="false" customHeight="true" outlineLevel="0" collapsed="false">
      <c r="A10" s="3" t="s">
        <v>15</v>
      </c>
      <c r="B10" s="2" t="s">
        <v>16</v>
      </c>
    </row>
    <row r="11" customFormat="false" ht="16.5" hidden="false" customHeight="true" outlineLevel="0" collapsed="false">
      <c r="A11" s="3" t="s">
        <v>17</v>
      </c>
      <c r="B11" s="2" t="s">
        <v>18</v>
      </c>
    </row>
    <row r="13" customFormat="false" ht="17.35" hidden="false" customHeight="false" outlineLevel="0" collapsed="false">
      <c r="A13" s="1" t="s">
        <v>19</v>
      </c>
      <c r="B13" s="2"/>
    </row>
    <row r="14" customFormat="false" ht="28.5" hidden="false" customHeight="true" outlineLevel="0" collapsed="false">
      <c r="A14" s="3" t="s">
        <v>20</v>
      </c>
      <c r="B14" s="2" t="s">
        <v>21</v>
      </c>
    </row>
    <row r="15" customFormat="false" ht="28.5" hidden="false" customHeight="true" outlineLevel="0" collapsed="false">
      <c r="A15" s="3" t="s">
        <v>22</v>
      </c>
      <c r="B15" s="2" t="s">
        <v>23</v>
      </c>
    </row>
    <row r="16" customFormat="false" ht="28.5" hidden="false" customHeight="true" outlineLevel="0" collapsed="false">
      <c r="A16" s="3" t="s">
        <v>24</v>
      </c>
      <c r="B16" s="2" t="s">
        <v>25</v>
      </c>
    </row>
    <row r="17" customFormat="false" ht="28.5" hidden="false" customHeight="true" outlineLevel="0" collapsed="false">
      <c r="A17" s="3" t="s">
        <v>26</v>
      </c>
      <c r="B17" s="2" t="s">
        <v>27</v>
      </c>
    </row>
    <row r="18" customFormat="false" ht="28.5" hidden="false" customHeight="true" outlineLevel="0" collapsed="false">
      <c r="A18" s="3" t="s">
        <v>28</v>
      </c>
      <c r="B18" s="2" t="s">
        <v>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11"/>
    <col collapsed="false" customWidth="true" hidden="false" outlineLevel="0" max="4" min="4" style="0" width="34"/>
    <col collapsed="false" customWidth="true" hidden="false" outlineLevel="0" max="5" min="5" style="0" width="16"/>
    <col collapsed="false" customWidth="true" hidden="false" outlineLevel="0" max="6" min="6" style="0" width="12"/>
    <col collapsed="false" customWidth="true" hidden="false" outlineLevel="0" max="7" min="7" style="0" width="9"/>
    <col collapsed="false" customWidth="true" hidden="false" outlineLevel="0" max="8" min="8" style="0" width="12"/>
    <col collapsed="false" customWidth="true" hidden="false" outlineLevel="0" max="9" min="9" style="0" width="8"/>
    <col collapsed="false" customWidth="true" hidden="false" outlineLevel="0" max="11" min="10" style="0" width="24"/>
    <col collapsed="false" customWidth="true" hidden="false" outlineLevel="0" max="12" min="12" style="0" width="30"/>
    <col collapsed="false" customWidth="true" hidden="false" outlineLevel="0" max="13" min="13" style="0" width="34"/>
    <col collapsed="false" customWidth="true" hidden="false" outlineLevel="0" max="15" min="14" style="0" width="46"/>
    <col collapsed="false" customWidth="true" hidden="false" outlineLevel="0" max="16" min="16" style="0" width="40"/>
    <col collapsed="false" customWidth="true" hidden="false" outlineLevel="0" max="17" min="17" style="0" width="22"/>
    <col collapsed="false" customWidth="true" hidden="false" outlineLevel="0" max="18" min="18" style="0" width="26"/>
    <col collapsed="false" customWidth="true" hidden="false" outlineLevel="0" max="19" min="19" style="0" width="12"/>
    <col collapsed="false" customWidth="true" hidden="false" outlineLevel="0" max="20" min="20" style="0" width="9"/>
    <col collapsed="false" customWidth="true" hidden="false" outlineLevel="0" max="21" min="21" style="0" width="17"/>
    <col collapsed="false" customWidth="true" hidden="false" outlineLevel="0" max="22" min="22" style="0" width="12"/>
    <col collapsed="false" customWidth="true" hidden="false" outlineLevel="0" max="23" min="23" style="0" width="11"/>
    <col collapsed="false" customWidth="true" hidden="false" outlineLevel="0" max="24" min="24" style="0" width="17"/>
    <col collapsed="false" customWidth="true" hidden="false" outlineLevel="0" max="25" min="25" style="0" width="20"/>
  </cols>
  <sheetData>
    <row r="1" customFormat="false" ht="30" hidden="false" customHeight="true" outlineLevel="0" collapsed="false">
      <c r="A1" s="4" t="s">
        <v>30</v>
      </c>
      <c r="B1" s="4" t="s">
        <v>31</v>
      </c>
      <c r="C1" s="4" t="s">
        <v>32</v>
      </c>
      <c r="D1" s="4" t="s">
        <v>33</v>
      </c>
      <c r="E1" s="4" t="s">
        <v>34</v>
      </c>
      <c r="F1" s="4" t="s">
        <v>35</v>
      </c>
      <c r="G1" s="4" t="s">
        <v>36</v>
      </c>
      <c r="H1" s="4" t="s">
        <v>37</v>
      </c>
      <c r="I1" s="4" t="s">
        <v>20</v>
      </c>
      <c r="J1" s="4" t="s">
        <v>38</v>
      </c>
      <c r="K1" s="4" t="s">
        <v>39</v>
      </c>
      <c r="L1" s="4" t="s">
        <v>40</v>
      </c>
      <c r="M1" s="4" t="s">
        <v>41</v>
      </c>
      <c r="N1" s="4" t="s">
        <v>42</v>
      </c>
      <c r="O1" s="4" t="s">
        <v>43</v>
      </c>
      <c r="P1" s="4" t="s">
        <v>26</v>
      </c>
      <c r="Q1" s="4" t="s">
        <v>44</v>
      </c>
      <c r="R1" s="4" t="s">
        <v>45</v>
      </c>
      <c r="S1" s="4" t="s">
        <v>46</v>
      </c>
      <c r="T1" s="4" t="s">
        <v>47</v>
      </c>
      <c r="U1" s="4" t="s">
        <v>22</v>
      </c>
      <c r="V1" s="4" t="s">
        <v>48</v>
      </c>
      <c r="W1" s="4" t="s">
        <v>49</v>
      </c>
      <c r="X1" s="4" t="s">
        <v>24</v>
      </c>
      <c r="Y1" s="4" t="s">
        <v>50</v>
      </c>
    </row>
    <row r="2" customFormat="false" ht="54" hidden="false" customHeight="true" outlineLevel="0" collapsed="false">
      <c r="A2" s="5" t="s">
        <v>51</v>
      </c>
      <c r="B2" s="6" t="s">
        <v>52</v>
      </c>
      <c r="C2" s="5" t="s">
        <v>53</v>
      </c>
      <c r="D2" s="6" t="s">
        <v>54</v>
      </c>
      <c r="E2" s="6" t="s">
        <v>55</v>
      </c>
      <c r="F2" s="6" t="s">
        <v>56</v>
      </c>
      <c r="G2" s="7" t="s">
        <v>57</v>
      </c>
      <c r="H2" s="7" t="s">
        <v>58</v>
      </c>
      <c r="I2" s="7" t="s">
        <v>59</v>
      </c>
      <c r="J2" s="6" t="s">
        <v>60</v>
      </c>
      <c r="K2" s="6" t="s">
        <v>61</v>
      </c>
      <c r="L2" s="6" t="s">
        <v>62</v>
      </c>
      <c r="M2" s="6" t="s">
        <v>63</v>
      </c>
      <c r="N2" s="6" t="s">
        <v>64</v>
      </c>
      <c r="O2" s="6" t="s">
        <v>65</v>
      </c>
      <c r="P2" s="6" t="s">
        <v>66</v>
      </c>
      <c r="Q2" s="6" t="s">
        <v>67</v>
      </c>
      <c r="R2" s="6" t="s">
        <v>68</v>
      </c>
      <c r="S2" s="6"/>
      <c r="T2" s="7" t="s">
        <v>69</v>
      </c>
      <c r="U2" s="7" t="s">
        <v>70</v>
      </c>
      <c r="V2" s="8" t="s">
        <v>71</v>
      </c>
      <c r="W2" s="9"/>
      <c r="X2" s="9"/>
      <c r="Y2" s="9"/>
    </row>
    <row r="3" customFormat="false" ht="54" hidden="false" customHeight="true" outlineLevel="0" collapsed="false">
      <c r="A3" s="10" t="s">
        <v>72</v>
      </c>
      <c r="B3" s="11" t="s">
        <v>52</v>
      </c>
      <c r="C3" s="10" t="s">
        <v>73</v>
      </c>
      <c r="D3" s="11" t="s">
        <v>74</v>
      </c>
      <c r="E3" s="11" t="s">
        <v>75</v>
      </c>
      <c r="F3" s="11"/>
      <c r="G3" s="12" t="s">
        <v>57</v>
      </c>
      <c r="H3" s="12" t="s">
        <v>58</v>
      </c>
      <c r="I3" s="12" t="s">
        <v>59</v>
      </c>
      <c r="J3" s="11" t="s">
        <v>76</v>
      </c>
      <c r="K3" s="11" t="s">
        <v>77</v>
      </c>
      <c r="L3" s="11" t="s">
        <v>78</v>
      </c>
      <c r="M3" s="11" t="s">
        <v>79</v>
      </c>
      <c r="N3" s="11" t="s">
        <v>80</v>
      </c>
      <c r="O3" s="11" t="s">
        <v>81</v>
      </c>
      <c r="P3" s="11" t="s">
        <v>82</v>
      </c>
      <c r="Q3" s="11" t="s">
        <v>83</v>
      </c>
      <c r="R3" s="11" t="s">
        <v>84</v>
      </c>
      <c r="S3" s="11"/>
      <c r="T3" s="12" t="s">
        <v>69</v>
      </c>
      <c r="U3" s="12" t="s">
        <v>70</v>
      </c>
      <c r="V3" s="8" t="s">
        <v>71</v>
      </c>
      <c r="W3" s="9"/>
      <c r="X3" s="9"/>
      <c r="Y3" s="9"/>
    </row>
    <row r="4" customFormat="false" ht="54" hidden="false" customHeight="true" outlineLevel="0" collapsed="false">
      <c r="A4" s="5" t="s">
        <v>85</v>
      </c>
      <c r="B4" s="6" t="s">
        <v>52</v>
      </c>
      <c r="C4" s="5" t="s">
        <v>86</v>
      </c>
      <c r="D4" s="6" t="s">
        <v>87</v>
      </c>
      <c r="E4" s="6" t="s">
        <v>75</v>
      </c>
      <c r="F4" s="6"/>
      <c r="G4" s="7" t="s">
        <v>57</v>
      </c>
      <c r="H4" s="7" t="s">
        <v>88</v>
      </c>
      <c r="I4" s="7" t="s">
        <v>89</v>
      </c>
      <c r="J4" s="6" t="s">
        <v>90</v>
      </c>
      <c r="K4" s="6" t="s">
        <v>91</v>
      </c>
      <c r="L4" s="6" t="s">
        <v>78</v>
      </c>
      <c r="M4" s="6" t="s">
        <v>92</v>
      </c>
      <c r="N4" s="6" t="s">
        <v>93</v>
      </c>
      <c r="O4" s="6" t="s">
        <v>94</v>
      </c>
      <c r="P4" s="6" t="s">
        <v>95</v>
      </c>
      <c r="Q4" s="6" t="s">
        <v>83</v>
      </c>
      <c r="R4" s="6" t="s">
        <v>96</v>
      </c>
      <c r="S4" s="6"/>
      <c r="T4" s="7" t="s">
        <v>97</v>
      </c>
      <c r="U4" s="7" t="s">
        <v>70</v>
      </c>
      <c r="V4" s="8" t="s">
        <v>71</v>
      </c>
      <c r="W4" s="9"/>
      <c r="X4" s="9"/>
      <c r="Y4" s="9"/>
    </row>
    <row r="5" customFormat="false" ht="91.5" hidden="false" customHeight="true" outlineLevel="0" collapsed="false">
      <c r="A5" s="10" t="s">
        <v>98</v>
      </c>
      <c r="B5" s="11" t="s">
        <v>52</v>
      </c>
      <c r="C5" s="10" t="s">
        <v>99</v>
      </c>
      <c r="D5" s="11" t="s">
        <v>100</v>
      </c>
      <c r="E5" s="11" t="s">
        <v>101</v>
      </c>
      <c r="F5" s="11"/>
      <c r="G5" s="12" t="s">
        <v>57</v>
      </c>
      <c r="H5" s="12" t="s">
        <v>102</v>
      </c>
      <c r="I5" s="12" t="s">
        <v>103</v>
      </c>
      <c r="J5" s="11" t="s">
        <v>104</v>
      </c>
      <c r="K5" s="11" t="s">
        <v>91</v>
      </c>
      <c r="L5" s="11" t="s">
        <v>105</v>
      </c>
      <c r="M5" s="11" t="s">
        <v>106</v>
      </c>
      <c r="N5" s="11" t="s">
        <v>107</v>
      </c>
      <c r="O5" s="11" t="s">
        <v>108</v>
      </c>
      <c r="P5" s="11" t="s">
        <v>109</v>
      </c>
      <c r="Q5" s="11" t="s">
        <v>110</v>
      </c>
      <c r="R5" s="11" t="s">
        <v>111</v>
      </c>
      <c r="S5" s="11"/>
      <c r="T5" s="12" t="s">
        <v>112</v>
      </c>
      <c r="U5" s="12" t="s">
        <v>70</v>
      </c>
      <c r="V5" s="8" t="s">
        <v>71</v>
      </c>
      <c r="W5" s="9"/>
      <c r="X5" s="9"/>
      <c r="Y5" s="9"/>
    </row>
    <row r="6" customFormat="false" ht="66" hidden="false" customHeight="true" outlineLevel="0" collapsed="false">
      <c r="A6" s="5" t="s">
        <v>113</v>
      </c>
      <c r="B6" s="6" t="s">
        <v>52</v>
      </c>
      <c r="C6" s="5" t="s">
        <v>114</v>
      </c>
      <c r="D6" s="6" t="s">
        <v>115</v>
      </c>
      <c r="E6" s="6" t="s">
        <v>101</v>
      </c>
      <c r="F6" s="6"/>
      <c r="G6" s="7" t="s">
        <v>57</v>
      </c>
      <c r="H6" s="7" t="s">
        <v>58</v>
      </c>
      <c r="I6" s="7" t="s">
        <v>59</v>
      </c>
      <c r="J6" s="6" t="s">
        <v>116</v>
      </c>
      <c r="K6" s="6" t="s">
        <v>77</v>
      </c>
      <c r="L6" s="6" t="s">
        <v>117</v>
      </c>
      <c r="M6" s="6" t="s">
        <v>118</v>
      </c>
      <c r="N6" s="6" t="s">
        <v>119</v>
      </c>
      <c r="O6" s="6" t="s">
        <v>120</v>
      </c>
      <c r="P6" s="6" t="s">
        <v>121</v>
      </c>
      <c r="Q6" s="6" t="s">
        <v>83</v>
      </c>
      <c r="R6" s="6" t="s">
        <v>122</v>
      </c>
      <c r="S6" s="6"/>
      <c r="T6" s="7" t="s">
        <v>112</v>
      </c>
      <c r="U6" s="7" t="s">
        <v>70</v>
      </c>
      <c r="V6" s="8" t="s">
        <v>71</v>
      </c>
      <c r="W6" s="9"/>
      <c r="X6" s="9"/>
      <c r="Y6" s="9"/>
    </row>
    <row r="7" customFormat="false" ht="66" hidden="false" customHeight="true" outlineLevel="0" collapsed="false">
      <c r="A7" s="10" t="s">
        <v>123</v>
      </c>
      <c r="B7" s="11" t="s">
        <v>52</v>
      </c>
      <c r="C7" s="10" t="s">
        <v>124</v>
      </c>
      <c r="D7" s="11" t="s">
        <v>125</v>
      </c>
      <c r="E7" s="11" t="s">
        <v>126</v>
      </c>
      <c r="F7" s="11" t="s">
        <v>127</v>
      </c>
      <c r="G7" s="12" t="s">
        <v>128</v>
      </c>
      <c r="H7" s="12" t="s">
        <v>88</v>
      </c>
      <c r="I7" s="12" t="s">
        <v>103</v>
      </c>
      <c r="J7" s="11" t="s">
        <v>129</v>
      </c>
      <c r="K7" s="11" t="s">
        <v>130</v>
      </c>
      <c r="L7" s="11" t="s">
        <v>131</v>
      </c>
      <c r="M7" s="11" t="s">
        <v>132</v>
      </c>
      <c r="N7" s="11" t="s">
        <v>133</v>
      </c>
      <c r="O7" s="11" t="s">
        <v>134</v>
      </c>
      <c r="P7" s="11" t="s">
        <v>135</v>
      </c>
      <c r="Q7" s="11" t="s">
        <v>136</v>
      </c>
      <c r="R7" s="11" t="s">
        <v>137</v>
      </c>
      <c r="S7" s="11"/>
      <c r="T7" s="12" t="s">
        <v>69</v>
      </c>
      <c r="U7" s="12" t="s">
        <v>70</v>
      </c>
      <c r="V7" s="8" t="s">
        <v>71</v>
      </c>
      <c r="W7" s="9"/>
      <c r="X7" s="9"/>
      <c r="Y7" s="9"/>
    </row>
    <row r="8" customFormat="false" ht="91.5" hidden="false" customHeight="true" outlineLevel="0" collapsed="false">
      <c r="A8" s="5" t="s">
        <v>138</v>
      </c>
      <c r="B8" s="6" t="s">
        <v>52</v>
      </c>
      <c r="C8" s="5" t="s">
        <v>139</v>
      </c>
      <c r="D8" s="6" t="s">
        <v>140</v>
      </c>
      <c r="E8" s="6" t="s">
        <v>141</v>
      </c>
      <c r="F8" s="6"/>
      <c r="G8" s="7" t="s">
        <v>128</v>
      </c>
      <c r="H8" s="7" t="s">
        <v>142</v>
      </c>
      <c r="I8" s="7" t="s">
        <v>103</v>
      </c>
      <c r="J8" s="6" t="s">
        <v>143</v>
      </c>
      <c r="K8" s="6" t="s">
        <v>144</v>
      </c>
      <c r="L8" s="6" t="s">
        <v>145</v>
      </c>
      <c r="M8" s="6" t="s">
        <v>146</v>
      </c>
      <c r="N8" s="6" t="s">
        <v>147</v>
      </c>
      <c r="O8" s="6" t="s">
        <v>148</v>
      </c>
      <c r="P8" s="6" t="s">
        <v>149</v>
      </c>
      <c r="Q8" s="6" t="s">
        <v>136</v>
      </c>
      <c r="R8" s="6" t="s">
        <v>150</v>
      </c>
      <c r="S8" s="6" t="s">
        <v>151</v>
      </c>
      <c r="T8" s="7" t="s">
        <v>97</v>
      </c>
      <c r="U8" s="7" t="s">
        <v>152</v>
      </c>
      <c r="V8" s="8" t="s">
        <v>71</v>
      </c>
      <c r="W8" s="9"/>
      <c r="X8" s="9"/>
      <c r="Y8" s="9"/>
    </row>
    <row r="9" customFormat="false" ht="91.5" hidden="false" customHeight="true" outlineLevel="0" collapsed="false">
      <c r="A9" s="10" t="s">
        <v>153</v>
      </c>
      <c r="B9" s="11" t="s">
        <v>52</v>
      </c>
      <c r="C9" s="10" t="s">
        <v>154</v>
      </c>
      <c r="D9" s="11" t="s">
        <v>155</v>
      </c>
      <c r="E9" s="11" t="s">
        <v>156</v>
      </c>
      <c r="F9" s="11" t="s">
        <v>157</v>
      </c>
      <c r="G9" s="12" t="s">
        <v>57</v>
      </c>
      <c r="H9" s="12" t="s">
        <v>88</v>
      </c>
      <c r="I9" s="12" t="s">
        <v>103</v>
      </c>
      <c r="J9" s="11" t="s">
        <v>158</v>
      </c>
      <c r="K9" s="11" t="s">
        <v>159</v>
      </c>
      <c r="L9" s="11" t="s">
        <v>160</v>
      </c>
      <c r="M9" s="11" t="s">
        <v>161</v>
      </c>
      <c r="N9" s="11" t="s">
        <v>162</v>
      </c>
      <c r="O9" s="11" t="s">
        <v>163</v>
      </c>
      <c r="P9" s="11" t="s">
        <v>164</v>
      </c>
      <c r="Q9" s="11" t="s">
        <v>136</v>
      </c>
      <c r="R9" s="11" t="s">
        <v>165</v>
      </c>
      <c r="S9" s="11"/>
      <c r="T9" s="12" t="s">
        <v>112</v>
      </c>
      <c r="U9" s="12" t="s">
        <v>70</v>
      </c>
      <c r="V9" s="8" t="s">
        <v>71</v>
      </c>
      <c r="W9" s="9"/>
      <c r="X9" s="9"/>
      <c r="Y9" s="9"/>
    </row>
    <row r="10" customFormat="false" ht="54" hidden="false" customHeight="true" outlineLevel="0" collapsed="false">
      <c r="A10" s="5" t="s">
        <v>166</v>
      </c>
      <c r="B10" s="6" t="s">
        <v>167</v>
      </c>
      <c r="C10" s="5" t="s">
        <v>168</v>
      </c>
      <c r="D10" s="6" t="s">
        <v>169</v>
      </c>
      <c r="E10" s="6" t="s">
        <v>170</v>
      </c>
      <c r="F10" s="6"/>
      <c r="G10" s="7" t="s">
        <v>57</v>
      </c>
      <c r="H10" s="7" t="s">
        <v>58</v>
      </c>
      <c r="I10" s="7" t="s">
        <v>59</v>
      </c>
      <c r="J10" s="6" t="s">
        <v>171</v>
      </c>
      <c r="K10" s="6" t="s">
        <v>172</v>
      </c>
      <c r="L10" s="6" t="s">
        <v>173</v>
      </c>
      <c r="M10" s="6" t="s">
        <v>106</v>
      </c>
      <c r="N10" s="6" t="s">
        <v>174</v>
      </c>
      <c r="O10" s="6" t="s">
        <v>175</v>
      </c>
      <c r="P10" s="6" t="s">
        <v>176</v>
      </c>
      <c r="Q10" s="6" t="s">
        <v>177</v>
      </c>
      <c r="R10" s="6" t="s">
        <v>178</v>
      </c>
      <c r="S10" s="6"/>
      <c r="T10" s="7" t="s">
        <v>112</v>
      </c>
      <c r="U10" s="7" t="s">
        <v>70</v>
      </c>
      <c r="V10" s="8" t="s">
        <v>71</v>
      </c>
      <c r="W10" s="9"/>
      <c r="X10" s="9"/>
      <c r="Y10" s="9"/>
    </row>
    <row r="11" customFormat="false" ht="103.5" hidden="false" customHeight="true" outlineLevel="0" collapsed="false">
      <c r="A11" s="10" t="s">
        <v>179</v>
      </c>
      <c r="B11" s="11" t="s">
        <v>167</v>
      </c>
      <c r="C11" s="10" t="s">
        <v>180</v>
      </c>
      <c r="D11" s="11" t="s">
        <v>181</v>
      </c>
      <c r="E11" s="11" t="s">
        <v>182</v>
      </c>
      <c r="F11" s="11"/>
      <c r="G11" s="12" t="s">
        <v>128</v>
      </c>
      <c r="H11" s="12" t="s">
        <v>102</v>
      </c>
      <c r="I11" s="12" t="s">
        <v>103</v>
      </c>
      <c r="J11" s="11" t="s">
        <v>183</v>
      </c>
      <c r="K11" s="11" t="s">
        <v>184</v>
      </c>
      <c r="L11" s="11" t="s">
        <v>185</v>
      </c>
      <c r="M11" s="11" t="s">
        <v>186</v>
      </c>
      <c r="N11" s="11" t="s">
        <v>187</v>
      </c>
      <c r="O11" s="11" t="s">
        <v>188</v>
      </c>
      <c r="P11" s="11" t="s">
        <v>189</v>
      </c>
      <c r="Q11" s="11" t="s">
        <v>190</v>
      </c>
      <c r="R11" s="11" t="s">
        <v>191</v>
      </c>
      <c r="S11" s="11"/>
      <c r="T11" s="12" t="s">
        <v>112</v>
      </c>
      <c r="U11" s="12" t="s">
        <v>70</v>
      </c>
      <c r="V11" s="8" t="s">
        <v>71</v>
      </c>
      <c r="W11" s="9"/>
      <c r="X11" s="9"/>
      <c r="Y11" s="9"/>
    </row>
    <row r="12" customFormat="false" ht="54" hidden="false" customHeight="true" outlineLevel="0" collapsed="false">
      <c r="A12" s="5" t="s">
        <v>192</v>
      </c>
      <c r="B12" s="6" t="s">
        <v>167</v>
      </c>
      <c r="C12" s="5" t="s">
        <v>193</v>
      </c>
      <c r="D12" s="6" t="s">
        <v>194</v>
      </c>
      <c r="E12" s="6" t="s">
        <v>170</v>
      </c>
      <c r="F12" s="6"/>
      <c r="G12" s="7" t="s">
        <v>128</v>
      </c>
      <c r="H12" s="7" t="s">
        <v>195</v>
      </c>
      <c r="I12" s="7" t="s">
        <v>89</v>
      </c>
      <c r="J12" s="6" t="s">
        <v>196</v>
      </c>
      <c r="K12" s="6" t="s">
        <v>184</v>
      </c>
      <c r="L12" s="6" t="s">
        <v>197</v>
      </c>
      <c r="M12" s="6" t="s">
        <v>198</v>
      </c>
      <c r="N12" s="6" t="s">
        <v>199</v>
      </c>
      <c r="O12" s="6" t="s">
        <v>200</v>
      </c>
      <c r="P12" s="6" t="s">
        <v>201</v>
      </c>
      <c r="Q12" s="6" t="s">
        <v>190</v>
      </c>
      <c r="R12" s="6" t="s">
        <v>202</v>
      </c>
      <c r="S12" s="6"/>
      <c r="T12" s="7" t="s">
        <v>69</v>
      </c>
      <c r="U12" s="7" t="s">
        <v>70</v>
      </c>
      <c r="V12" s="8" t="s">
        <v>71</v>
      </c>
      <c r="W12" s="9"/>
      <c r="X12" s="9"/>
      <c r="Y12" s="9"/>
    </row>
    <row r="13" customFormat="false" ht="66" hidden="false" customHeight="true" outlineLevel="0" collapsed="false">
      <c r="A13" s="10" t="s">
        <v>203</v>
      </c>
      <c r="B13" s="11" t="s">
        <v>167</v>
      </c>
      <c r="C13" s="10" t="s">
        <v>204</v>
      </c>
      <c r="D13" s="11" t="s">
        <v>205</v>
      </c>
      <c r="E13" s="11" t="s">
        <v>206</v>
      </c>
      <c r="F13" s="11" t="s">
        <v>207</v>
      </c>
      <c r="G13" s="12" t="s">
        <v>57</v>
      </c>
      <c r="H13" s="12" t="s">
        <v>195</v>
      </c>
      <c r="I13" s="12" t="s">
        <v>103</v>
      </c>
      <c r="J13" s="11" t="s">
        <v>208</v>
      </c>
      <c r="K13" s="11" t="s">
        <v>209</v>
      </c>
      <c r="L13" s="11" t="s">
        <v>210</v>
      </c>
      <c r="M13" s="11" t="s">
        <v>211</v>
      </c>
      <c r="N13" s="11" t="s">
        <v>212</v>
      </c>
      <c r="O13" s="11" t="s">
        <v>213</v>
      </c>
      <c r="P13" s="11" t="s">
        <v>214</v>
      </c>
      <c r="Q13" s="11" t="s">
        <v>215</v>
      </c>
      <c r="R13" s="11" t="s">
        <v>216</v>
      </c>
      <c r="S13" s="11"/>
      <c r="T13" s="12" t="s">
        <v>112</v>
      </c>
      <c r="U13" s="12" t="s">
        <v>70</v>
      </c>
      <c r="V13" s="8" t="s">
        <v>71</v>
      </c>
      <c r="W13" s="9"/>
      <c r="X13" s="9"/>
      <c r="Y13" s="9"/>
    </row>
    <row r="14" customFormat="false" ht="103.5" hidden="false" customHeight="true" outlineLevel="0" collapsed="false">
      <c r="A14" s="5" t="s">
        <v>217</v>
      </c>
      <c r="B14" s="6" t="s">
        <v>167</v>
      </c>
      <c r="C14" s="5" t="s">
        <v>218</v>
      </c>
      <c r="D14" s="6" t="s">
        <v>219</v>
      </c>
      <c r="E14" s="6" t="s">
        <v>170</v>
      </c>
      <c r="F14" s="6"/>
      <c r="G14" s="7" t="s">
        <v>128</v>
      </c>
      <c r="H14" s="7" t="s">
        <v>195</v>
      </c>
      <c r="I14" s="7" t="s">
        <v>89</v>
      </c>
      <c r="J14" s="6" t="s">
        <v>196</v>
      </c>
      <c r="K14" s="6" t="s">
        <v>184</v>
      </c>
      <c r="L14" s="6" t="s">
        <v>220</v>
      </c>
      <c r="M14" s="6" t="s">
        <v>106</v>
      </c>
      <c r="N14" s="6" t="s">
        <v>221</v>
      </c>
      <c r="O14" s="6" t="s">
        <v>222</v>
      </c>
      <c r="P14" s="6" t="s">
        <v>223</v>
      </c>
      <c r="Q14" s="6" t="s">
        <v>190</v>
      </c>
      <c r="R14" s="6" t="s">
        <v>224</v>
      </c>
      <c r="S14" s="6" t="s">
        <v>225</v>
      </c>
      <c r="T14" s="7" t="s">
        <v>226</v>
      </c>
      <c r="U14" s="7" t="s">
        <v>152</v>
      </c>
      <c r="V14" s="8" t="s">
        <v>71</v>
      </c>
      <c r="W14" s="9"/>
      <c r="X14" s="9"/>
      <c r="Y14" s="9"/>
    </row>
    <row r="15" customFormat="false" ht="66" hidden="false" customHeight="true" outlineLevel="0" collapsed="false">
      <c r="A15" s="10" t="s">
        <v>227</v>
      </c>
      <c r="B15" s="11" t="s">
        <v>167</v>
      </c>
      <c r="C15" s="10" t="s">
        <v>228</v>
      </c>
      <c r="D15" s="11" t="s">
        <v>229</v>
      </c>
      <c r="E15" s="11" t="s">
        <v>230</v>
      </c>
      <c r="F15" s="11" t="s">
        <v>231</v>
      </c>
      <c r="G15" s="12" t="s">
        <v>128</v>
      </c>
      <c r="H15" s="12" t="s">
        <v>232</v>
      </c>
      <c r="I15" s="12" t="s">
        <v>59</v>
      </c>
      <c r="J15" s="11" t="s">
        <v>233</v>
      </c>
      <c r="K15" s="11" t="s">
        <v>234</v>
      </c>
      <c r="L15" s="11" t="s">
        <v>235</v>
      </c>
      <c r="M15" s="11" t="s">
        <v>236</v>
      </c>
      <c r="N15" s="11" t="s">
        <v>237</v>
      </c>
      <c r="O15" s="11" t="s">
        <v>238</v>
      </c>
      <c r="P15" s="11" t="s">
        <v>239</v>
      </c>
      <c r="Q15" s="11" t="s">
        <v>190</v>
      </c>
      <c r="R15" s="11" t="s">
        <v>240</v>
      </c>
      <c r="S15" s="11"/>
      <c r="T15" s="12" t="s">
        <v>112</v>
      </c>
      <c r="U15" s="12" t="s">
        <v>70</v>
      </c>
      <c r="V15" s="8" t="s">
        <v>71</v>
      </c>
      <c r="W15" s="9"/>
      <c r="X15" s="9"/>
      <c r="Y15" s="9"/>
    </row>
    <row r="16" customFormat="false" ht="91.5" hidden="false" customHeight="true" outlineLevel="0" collapsed="false">
      <c r="A16" s="5" t="s">
        <v>241</v>
      </c>
      <c r="B16" s="6" t="s">
        <v>242</v>
      </c>
      <c r="C16" s="5" t="s">
        <v>243</v>
      </c>
      <c r="D16" s="6" t="s">
        <v>244</v>
      </c>
      <c r="E16" s="6" t="s">
        <v>245</v>
      </c>
      <c r="F16" s="6"/>
      <c r="G16" s="7" t="s">
        <v>57</v>
      </c>
      <c r="H16" s="7" t="s">
        <v>58</v>
      </c>
      <c r="I16" s="7" t="s">
        <v>59</v>
      </c>
      <c r="J16" s="6" t="s">
        <v>246</v>
      </c>
      <c r="K16" s="6" t="s">
        <v>247</v>
      </c>
      <c r="L16" s="6" t="s">
        <v>248</v>
      </c>
      <c r="M16" s="6" t="s">
        <v>249</v>
      </c>
      <c r="N16" s="6" t="s">
        <v>250</v>
      </c>
      <c r="O16" s="6" t="s">
        <v>251</v>
      </c>
      <c r="P16" s="6" t="s">
        <v>252</v>
      </c>
      <c r="Q16" s="6" t="s">
        <v>215</v>
      </c>
      <c r="R16" s="6" t="s">
        <v>253</v>
      </c>
      <c r="S16" s="6"/>
      <c r="T16" s="7" t="s">
        <v>112</v>
      </c>
      <c r="U16" s="7" t="s">
        <v>70</v>
      </c>
      <c r="V16" s="8" t="s">
        <v>71</v>
      </c>
      <c r="W16" s="9"/>
      <c r="X16" s="9"/>
      <c r="Y16" s="9"/>
    </row>
    <row r="17" customFormat="false" ht="91.5" hidden="false" customHeight="true" outlineLevel="0" collapsed="false">
      <c r="A17" s="10" t="s">
        <v>254</v>
      </c>
      <c r="B17" s="11" t="s">
        <v>242</v>
      </c>
      <c r="C17" s="10" t="s">
        <v>255</v>
      </c>
      <c r="D17" s="11" t="s">
        <v>256</v>
      </c>
      <c r="E17" s="11" t="s">
        <v>257</v>
      </c>
      <c r="F17" s="11"/>
      <c r="G17" s="12" t="s">
        <v>57</v>
      </c>
      <c r="H17" s="12" t="s">
        <v>88</v>
      </c>
      <c r="I17" s="12" t="s">
        <v>89</v>
      </c>
      <c r="J17" s="11" t="s">
        <v>258</v>
      </c>
      <c r="K17" s="11" t="s">
        <v>259</v>
      </c>
      <c r="L17" s="11" t="s">
        <v>260</v>
      </c>
      <c r="M17" s="11" t="s">
        <v>261</v>
      </c>
      <c r="N17" s="11" t="s">
        <v>262</v>
      </c>
      <c r="O17" s="11" t="s">
        <v>263</v>
      </c>
      <c r="P17" s="11" t="s">
        <v>252</v>
      </c>
      <c r="Q17" s="11" t="s">
        <v>264</v>
      </c>
      <c r="R17" s="11" t="s">
        <v>265</v>
      </c>
      <c r="S17" s="11"/>
      <c r="T17" s="12" t="s">
        <v>97</v>
      </c>
      <c r="U17" s="12" t="s">
        <v>70</v>
      </c>
      <c r="V17" s="8" t="s">
        <v>71</v>
      </c>
      <c r="W17" s="9"/>
      <c r="X17" s="9"/>
      <c r="Y17" s="9"/>
    </row>
    <row r="18" customFormat="false" ht="78.75" hidden="false" customHeight="true" outlineLevel="0" collapsed="false">
      <c r="A18" s="5" t="s">
        <v>266</v>
      </c>
      <c r="B18" s="6" t="s">
        <v>242</v>
      </c>
      <c r="C18" s="5" t="s">
        <v>267</v>
      </c>
      <c r="D18" s="6" t="s">
        <v>268</v>
      </c>
      <c r="E18" s="6" t="s">
        <v>269</v>
      </c>
      <c r="F18" s="6" t="s">
        <v>270</v>
      </c>
      <c r="G18" s="7" t="s">
        <v>57</v>
      </c>
      <c r="H18" s="7" t="s">
        <v>142</v>
      </c>
      <c r="I18" s="7" t="s">
        <v>59</v>
      </c>
      <c r="J18" s="6" t="s">
        <v>271</v>
      </c>
      <c r="K18" s="6" t="s">
        <v>272</v>
      </c>
      <c r="L18" s="6" t="s">
        <v>260</v>
      </c>
      <c r="M18" s="6" t="s">
        <v>273</v>
      </c>
      <c r="N18" s="6" t="s">
        <v>274</v>
      </c>
      <c r="O18" s="6" t="s">
        <v>275</v>
      </c>
      <c r="P18" s="6" t="s">
        <v>276</v>
      </c>
      <c r="Q18" s="6" t="s">
        <v>264</v>
      </c>
      <c r="R18" s="6" t="s">
        <v>277</v>
      </c>
      <c r="S18" s="6" t="s">
        <v>225</v>
      </c>
      <c r="T18" s="7" t="s">
        <v>97</v>
      </c>
      <c r="U18" s="7" t="s">
        <v>152</v>
      </c>
      <c r="V18" s="8" t="s">
        <v>71</v>
      </c>
      <c r="W18" s="9"/>
      <c r="X18" s="9"/>
      <c r="Y18" s="9"/>
    </row>
    <row r="19" customFormat="false" ht="41.25" hidden="false" customHeight="true" outlineLevel="0" collapsed="false">
      <c r="A19" s="10" t="s">
        <v>278</v>
      </c>
      <c r="B19" s="11" t="s">
        <v>242</v>
      </c>
      <c r="C19" s="10" t="s">
        <v>279</v>
      </c>
      <c r="D19" s="11" t="s">
        <v>280</v>
      </c>
      <c r="E19" s="11" t="s">
        <v>269</v>
      </c>
      <c r="F19" s="11" t="s">
        <v>270</v>
      </c>
      <c r="G19" s="12" t="s">
        <v>57</v>
      </c>
      <c r="H19" s="12" t="s">
        <v>142</v>
      </c>
      <c r="I19" s="12" t="s">
        <v>59</v>
      </c>
      <c r="J19" s="11" t="s">
        <v>271</v>
      </c>
      <c r="K19" s="11" t="s">
        <v>272</v>
      </c>
      <c r="L19" s="11" t="s">
        <v>260</v>
      </c>
      <c r="M19" s="11" t="s">
        <v>281</v>
      </c>
      <c r="N19" s="11" t="s">
        <v>282</v>
      </c>
      <c r="O19" s="11" t="s">
        <v>283</v>
      </c>
      <c r="P19" s="11" t="s">
        <v>284</v>
      </c>
      <c r="Q19" s="11" t="s">
        <v>264</v>
      </c>
      <c r="R19" s="11" t="s">
        <v>285</v>
      </c>
      <c r="S19" s="11" t="s">
        <v>225</v>
      </c>
      <c r="T19" s="12" t="s">
        <v>97</v>
      </c>
      <c r="U19" s="12" t="s">
        <v>152</v>
      </c>
      <c r="V19" s="8" t="s">
        <v>71</v>
      </c>
      <c r="W19" s="9"/>
      <c r="X19" s="9"/>
      <c r="Y19" s="9"/>
    </row>
    <row r="20" customFormat="false" ht="54" hidden="false" customHeight="true" outlineLevel="0" collapsed="false">
      <c r="A20" s="5" t="s">
        <v>286</v>
      </c>
      <c r="B20" s="6" t="s">
        <v>242</v>
      </c>
      <c r="C20" s="5" t="s">
        <v>287</v>
      </c>
      <c r="D20" s="6" t="s">
        <v>288</v>
      </c>
      <c r="E20" s="6" t="s">
        <v>289</v>
      </c>
      <c r="F20" s="6" t="s">
        <v>290</v>
      </c>
      <c r="G20" s="7" t="s">
        <v>57</v>
      </c>
      <c r="H20" s="7" t="s">
        <v>88</v>
      </c>
      <c r="I20" s="7" t="s">
        <v>103</v>
      </c>
      <c r="J20" s="6" t="s">
        <v>291</v>
      </c>
      <c r="K20" s="6" t="s">
        <v>292</v>
      </c>
      <c r="L20" s="6" t="s">
        <v>260</v>
      </c>
      <c r="M20" s="6" t="s">
        <v>293</v>
      </c>
      <c r="N20" s="6" t="s">
        <v>294</v>
      </c>
      <c r="O20" s="6" t="s">
        <v>295</v>
      </c>
      <c r="P20" s="6" t="s">
        <v>296</v>
      </c>
      <c r="Q20" s="6" t="s">
        <v>264</v>
      </c>
      <c r="R20" s="6" t="s">
        <v>297</v>
      </c>
      <c r="S20" s="6"/>
      <c r="T20" s="7" t="s">
        <v>97</v>
      </c>
      <c r="U20" s="7" t="s">
        <v>70</v>
      </c>
      <c r="V20" s="8" t="s">
        <v>71</v>
      </c>
      <c r="W20" s="9"/>
      <c r="X20" s="9"/>
      <c r="Y20" s="9"/>
    </row>
    <row r="21" customFormat="false" ht="54" hidden="false" customHeight="true" outlineLevel="0" collapsed="false">
      <c r="A21" s="10" t="s">
        <v>298</v>
      </c>
      <c r="B21" s="11" t="s">
        <v>242</v>
      </c>
      <c r="C21" s="10" t="s">
        <v>299</v>
      </c>
      <c r="D21" s="11" t="s">
        <v>300</v>
      </c>
      <c r="E21" s="11" t="s">
        <v>269</v>
      </c>
      <c r="F21" s="11" t="s">
        <v>270</v>
      </c>
      <c r="G21" s="12" t="s">
        <v>57</v>
      </c>
      <c r="H21" s="12" t="s">
        <v>142</v>
      </c>
      <c r="I21" s="12" t="s">
        <v>59</v>
      </c>
      <c r="J21" s="11" t="s">
        <v>271</v>
      </c>
      <c r="K21" s="11" t="s">
        <v>272</v>
      </c>
      <c r="L21" s="11" t="s">
        <v>301</v>
      </c>
      <c r="M21" s="11" t="s">
        <v>302</v>
      </c>
      <c r="N21" s="11" t="s">
        <v>303</v>
      </c>
      <c r="O21" s="11" t="s">
        <v>304</v>
      </c>
      <c r="P21" s="11" t="s">
        <v>305</v>
      </c>
      <c r="Q21" s="11" t="s">
        <v>264</v>
      </c>
      <c r="R21" s="11" t="s">
        <v>306</v>
      </c>
      <c r="S21" s="11"/>
      <c r="T21" s="12" t="s">
        <v>112</v>
      </c>
      <c r="U21" s="12" t="s">
        <v>70</v>
      </c>
      <c r="V21" s="8" t="s">
        <v>71</v>
      </c>
      <c r="W21" s="9"/>
      <c r="X21" s="9"/>
      <c r="Y21" s="9"/>
    </row>
    <row r="22" customFormat="false" ht="54" hidden="false" customHeight="true" outlineLevel="0" collapsed="false">
      <c r="A22" s="5" t="s">
        <v>307</v>
      </c>
      <c r="B22" s="6" t="s">
        <v>242</v>
      </c>
      <c r="C22" s="5" t="s">
        <v>308</v>
      </c>
      <c r="D22" s="6" t="s">
        <v>309</v>
      </c>
      <c r="E22" s="6" t="s">
        <v>310</v>
      </c>
      <c r="F22" s="6"/>
      <c r="G22" s="7" t="s">
        <v>57</v>
      </c>
      <c r="H22" s="7" t="s">
        <v>142</v>
      </c>
      <c r="I22" s="7" t="s">
        <v>89</v>
      </c>
      <c r="J22" s="6" t="s">
        <v>311</v>
      </c>
      <c r="K22" s="6" t="s">
        <v>259</v>
      </c>
      <c r="L22" s="6" t="s">
        <v>312</v>
      </c>
      <c r="M22" s="6" t="s">
        <v>313</v>
      </c>
      <c r="N22" s="6" t="s">
        <v>314</v>
      </c>
      <c r="O22" s="6" t="s">
        <v>315</v>
      </c>
      <c r="P22" s="6" t="s">
        <v>316</v>
      </c>
      <c r="Q22" s="6" t="s">
        <v>264</v>
      </c>
      <c r="R22" s="6" t="s">
        <v>317</v>
      </c>
      <c r="S22" s="6"/>
      <c r="T22" s="7" t="s">
        <v>112</v>
      </c>
      <c r="U22" s="7" t="s">
        <v>70</v>
      </c>
      <c r="V22" s="8" t="s">
        <v>71</v>
      </c>
      <c r="W22" s="9"/>
      <c r="X22" s="9"/>
      <c r="Y22" s="9"/>
    </row>
    <row r="23" customFormat="false" ht="91.5" hidden="false" customHeight="true" outlineLevel="0" collapsed="false">
      <c r="A23" s="10" t="s">
        <v>318</v>
      </c>
      <c r="B23" s="11" t="s">
        <v>242</v>
      </c>
      <c r="C23" s="10" t="s">
        <v>319</v>
      </c>
      <c r="D23" s="11" t="s">
        <v>320</v>
      </c>
      <c r="E23" s="11" t="s">
        <v>257</v>
      </c>
      <c r="F23" s="11"/>
      <c r="G23" s="12" t="s">
        <v>57</v>
      </c>
      <c r="H23" s="12" t="s">
        <v>88</v>
      </c>
      <c r="I23" s="12" t="s">
        <v>89</v>
      </c>
      <c r="J23" s="11" t="s">
        <v>258</v>
      </c>
      <c r="K23" s="11" t="s">
        <v>259</v>
      </c>
      <c r="L23" s="11" t="s">
        <v>321</v>
      </c>
      <c r="M23" s="11" t="s">
        <v>322</v>
      </c>
      <c r="N23" s="11" t="s">
        <v>323</v>
      </c>
      <c r="O23" s="11" t="s">
        <v>324</v>
      </c>
      <c r="P23" s="11" t="s">
        <v>252</v>
      </c>
      <c r="Q23" s="11" t="s">
        <v>264</v>
      </c>
      <c r="R23" s="11" t="s">
        <v>325</v>
      </c>
      <c r="S23" s="11"/>
      <c r="T23" s="12" t="s">
        <v>326</v>
      </c>
      <c r="U23" s="12" t="s">
        <v>70</v>
      </c>
      <c r="V23" s="8" t="s">
        <v>71</v>
      </c>
      <c r="W23" s="9"/>
      <c r="X23" s="9"/>
      <c r="Y23" s="9"/>
    </row>
    <row r="24" customFormat="false" ht="116.25" hidden="false" customHeight="true" outlineLevel="0" collapsed="false">
      <c r="A24" s="5" t="s">
        <v>327</v>
      </c>
      <c r="B24" s="6" t="s">
        <v>328</v>
      </c>
      <c r="C24" s="5" t="s">
        <v>329</v>
      </c>
      <c r="D24" s="6" t="s">
        <v>330</v>
      </c>
      <c r="E24" s="6" t="s">
        <v>331</v>
      </c>
      <c r="F24" s="6"/>
      <c r="G24" s="7" t="s">
        <v>57</v>
      </c>
      <c r="H24" s="7" t="s">
        <v>195</v>
      </c>
      <c r="I24" s="7" t="s">
        <v>89</v>
      </c>
      <c r="J24" s="6" t="s">
        <v>332</v>
      </c>
      <c r="K24" s="6" t="s">
        <v>333</v>
      </c>
      <c r="L24" s="6" t="s">
        <v>334</v>
      </c>
      <c r="M24" s="6" t="s">
        <v>335</v>
      </c>
      <c r="N24" s="6" t="s">
        <v>336</v>
      </c>
      <c r="O24" s="6" t="s">
        <v>337</v>
      </c>
      <c r="P24" s="6" t="s">
        <v>338</v>
      </c>
      <c r="Q24" s="6" t="s">
        <v>339</v>
      </c>
      <c r="R24" s="6" t="s">
        <v>340</v>
      </c>
      <c r="S24" s="6"/>
      <c r="T24" s="7" t="s">
        <v>112</v>
      </c>
      <c r="U24" s="7" t="s">
        <v>70</v>
      </c>
      <c r="V24" s="8" t="s">
        <v>71</v>
      </c>
      <c r="W24" s="9"/>
      <c r="X24" s="9"/>
      <c r="Y24" s="9"/>
    </row>
    <row r="25" customFormat="false" ht="41.25" hidden="false" customHeight="true" outlineLevel="0" collapsed="false">
      <c r="A25" s="10" t="s">
        <v>341</v>
      </c>
      <c r="B25" s="11" t="s">
        <v>328</v>
      </c>
      <c r="C25" s="10" t="s">
        <v>342</v>
      </c>
      <c r="D25" s="11" t="s">
        <v>343</v>
      </c>
      <c r="E25" s="11" t="s">
        <v>344</v>
      </c>
      <c r="F25" s="11"/>
      <c r="G25" s="12" t="s">
        <v>57</v>
      </c>
      <c r="H25" s="12" t="s">
        <v>88</v>
      </c>
      <c r="I25" s="12" t="s">
        <v>89</v>
      </c>
      <c r="J25" s="11" t="s">
        <v>345</v>
      </c>
      <c r="K25" s="11" t="s">
        <v>333</v>
      </c>
      <c r="L25" s="11" t="s">
        <v>334</v>
      </c>
      <c r="M25" s="11" t="s">
        <v>346</v>
      </c>
      <c r="N25" s="11" t="s">
        <v>347</v>
      </c>
      <c r="O25" s="11" t="s">
        <v>348</v>
      </c>
      <c r="P25" s="11" t="s">
        <v>349</v>
      </c>
      <c r="Q25" s="11" t="s">
        <v>339</v>
      </c>
      <c r="R25" s="11" t="s">
        <v>350</v>
      </c>
      <c r="S25" s="11"/>
      <c r="T25" s="12" t="s">
        <v>112</v>
      </c>
      <c r="U25" s="12" t="s">
        <v>70</v>
      </c>
      <c r="V25" s="8" t="s">
        <v>71</v>
      </c>
      <c r="W25" s="9"/>
      <c r="X25" s="9"/>
      <c r="Y25" s="9"/>
    </row>
    <row r="26" customFormat="false" ht="78.75" hidden="false" customHeight="true" outlineLevel="0" collapsed="false">
      <c r="A26" s="5" t="s">
        <v>351</v>
      </c>
      <c r="B26" s="6" t="s">
        <v>328</v>
      </c>
      <c r="C26" s="5" t="s">
        <v>352</v>
      </c>
      <c r="D26" s="6" t="s">
        <v>353</v>
      </c>
      <c r="E26" s="6" t="s">
        <v>344</v>
      </c>
      <c r="F26" s="6"/>
      <c r="G26" s="7" t="s">
        <v>57</v>
      </c>
      <c r="H26" s="7" t="s">
        <v>88</v>
      </c>
      <c r="I26" s="7" t="s">
        <v>89</v>
      </c>
      <c r="J26" s="6" t="s">
        <v>345</v>
      </c>
      <c r="K26" s="6" t="s">
        <v>333</v>
      </c>
      <c r="L26" s="6" t="s">
        <v>334</v>
      </c>
      <c r="M26" s="6" t="s">
        <v>354</v>
      </c>
      <c r="N26" s="6" t="s">
        <v>355</v>
      </c>
      <c r="O26" s="6" t="s">
        <v>356</v>
      </c>
      <c r="P26" s="6" t="s">
        <v>357</v>
      </c>
      <c r="Q26" s="6" t="s">
        <v>339</v>
      </c>
      <c r="R26" s="6" t="s">
        <v>350</v>
      </c>
      <c r="S26" s="6"/>
      <c r="T26" s="7" t="s">
        <v>112</v>
      </c>
      <c r="U26" s="7" t="s">
        <v>70</v>
      </c>
      <c r="V26" s="8" t="s">
        <v>71</v>
      </c>
      <c r="W26" s="9"/>
      <c r="X26" s="9"/>
      <c r="Y26" s="9"/>
    </row>
    <row r="27" customFormat="false" ht="54" hidden="false" customHeight="true" outlineLevel="0" collapsed="false">
      <c r="A27" s="10" t="s">
        <v>358</v>
      </c>
      <c r="B27" s="11" t="s">
        <v>328</v>
      </c>
      <c r="C27" s="10" t="s">
        <v>359</v>
      </c>
      <c r="D27" s="11" t="s">
        <v>360</v>
      </c>
      <c r="E27" s="11" t="s">
        <v>344</v>
      </c>
      <c r="F27" s="11"/>
      <c r="G27" s="12" t="s">
        <v>57</v>
      </c>
      <c r="H27" s="12" t="s">
        <v>88</v>
      </c>
      <c r="I27" s="12" t="s">
        <v>89</v>
      </c>
      <c r="J27" s="11" t="s">
        <v>345</v>
      </c>
      <c r="K27" s="11" t="s">
        <v>333</v>
      </c>
      <c r="L27" s="11" t="s">
        <v>361</v>
      </c>
      <c r="M27" s="11" t="s">
        <v>362</v>
      </c>
      <c r="N27" s="11" t="s">
        <v>363</v>
      </c>
      <c r="O27" s="11" t="s">
        <v>364</v>
      </c>
      <c r="P27" s="11" t="s">
        <v>365</v>
      </c>
      <c r="Q27" s="11" t="s">
        <v>339</v>
      </c>
      <c r="R27" s="11" t="s">
        <v>325</v>
      </c>
      <c r="S27" s="11"/>
      <c r="T27" s="12" t="s">
        <v>112</v>
      </c>
      <c r="U27" s="12" t="s">
        <v>70</v>
      </c>
      <c r="V27" s="8" t="s">
        <v>71</v>
      </c>
      <c r="W27" s="9"/>
      <c r="X27" s="9"/>
      <c r="Y27" s="9"/>
    </row>
    <row r="28" customFormat="false" ht="41.25" hidden="false" customHeight="true" outlineLevel="0" collapsed="false">
      <c r="A28" s="5" t="s">
        <v>366</v>
      </c>
      <c r="B28" s="6" t="s">
        <v>328</v>
      </c>
      <c r="C28" s="5" t="s">
        <v>367</v>
      </c>
      <c r="D28" s="6" t="s">
        <v>368</v>
      </c>
      <c r="E28" s="6" t="s">
        <v>369</v>
      </c>
      <c r="F28" s="6"/>
      <c r="G28" s="7" t="s">
        <v>57</v>
      </c>
      <c r="H28" s="7" t="s">
        <v>88</v>
      </c>
      <c r="I28" s="7" t="s">
        <v>89</v>
      </c>
      <c r="J28" s="6" t="s">
        <v>370</v>
      </c>
      <c r="K28" s="6" t="s">
        <v>333</v>
      </c>
      <c r="L28" s="6" t="s">
        <v>361</v>
      </c>
      <c r="M28" s="6" t="s">
        <v>371</v>
      </c>
      <c r="N28" s="6" t="s">
        <v>372</v>
      </c>
      <c r="O28" s="6" t="s">
        <v>373</v>
      </c>
      <c r="P28" s="6" t="s">
        <v>374</v>
      </c>
      <c r="Q28" s="6" t="s">
        <v>339</v>
      </c>
      <c r="R28" s="6" t="s">
        <v>375</v>
      </c>
      <c r="S28" s="6"/>
      <c r="T28" s="7" t="s">
        <v>97</v>
      </c>
      <c r="U28" s="7" t="s">
        <v>70</v>
      </c>
      <c r="V28" s="8" t="s">
        <v>71</v>
      </c>
      <c r="W28" s="9"/>
      <c r="X28" s="9"/>
      <c r="Y28" s="9"/>
    </row>
    <row r="29" customFormat="false" ht="54" hidden="false" customHeight="true" outlineLevel="0" collapsed="false">
      <c r="A29" s="10" t="s">
        <v>376</v>
      </c>
      <c r="B29" s="11" t="s">
        <v>328</v>
      </c>
      <c r="C29" s="10" t="s">
        <v>377</v>
      </c>
      <c r="D29" s="11" t="s">
        <v>378</v>
      </c>
      <c r="E29" s="11" t="s">
        <v>369</v>
      </c>
      <c r="F29" s="11"/>
      <c r="G29" s="12" t="s">
        <v>57</v>
      </c>
      <c r="H29" s="12" t="s">
        <v>88</v>
      </c>
      <c r="I29" s="12" t="s">
        <v>89</v>
      </c>
      <c r="J29" s="11" t="s">
        <v>370</v>
      </c>
      <c r="K29" s="11" t="s">
        <v>333</v>
      </c>
      <c r="L29" s="11" t="s">
        <v>361</v>
      </c>
      <c r="M29" s="11" t="s">
        <v>379</v>
      </c>
      <c r="N29" s="11" t="s">
        <v>380</v>
      </c>
      <c r="O29" s="11" t="s">
        <v>381</v>
      </c>
      <c r="P29" s="11" t="s">
        <v>382</v>
      </c>
      <c r="Q29" s="11" t="s">
        <v>339</v>
      </c>
      <c r="R29" s="11" t="s">
        <v>297</v>
      </c>
      <c r="S29" s="11"/>
      <c r="T29" s="12" t="s">
        <v>112</v>
      </c>
      <c r="U29" s="12" t="s">
        <v>70</v>
      </c>
      <c r="V29" s="8" t="s">
        <v>71</v>
      </c>
      <c r="W29" s="9"/>
      <c r="X29" s="9"/>
      <c r="Y29" s="9"/>
    </row>
    <row r="30" customFormat="false" ht="129" hidden="false" customHeight="true" outlineLevel="0" collapsed="false">
      <c r="A30" s="5" t="s">
        <v>383</v>
      </c>
      <c r="B30" s="6" t="s">
        <v>384</v>
      </c>
      <c r="C30" s="5" t="s">
        <v>385</v>
      </c>
      <c r="D30" s="6" t="s">
        <v>386</v>
      </c>
      <c r="E30" s="6" t="s">
        <v>387</v>
      </c>
      <c r="F30" s="6" t="s">
        <v>388</v>
      </c>
      <c r="G30" s="7" t="s">
        <v>128</v>
      </c>
      <c r="H30" s="7" t="s">
        <v>88</v>
      </c>
      <c r="I30" s="7" t="s">
        <v>59</v>
      </c>
      <c r="J30" s="6" t="s">
        <v>389</v>
      </c>
      <c r="K30" s="6" t="s">
        <v>390</v>
      </c>
      <c r="L30" s="6" t="s">
        <v>391</v>
      </c>
      <c r="M30" s="6" t="s">
        <v>392</v>
      </c>
      <c r="N30" s="6" t="s">
        <v>393</v>
      </c>
      <c r="O30" s="6" t="s">
        <v>394</v>
      </c>
      <c r="P30" s="6" t="s">
        <v>395</v>
      </c>
      <c r="Q30" s="6" t="s">
        <v>396</v>
      </c>
      <c r="R30" s="6" t="s">
        <v>397</v>
      </c>
      <c r="S30" s="6" t="s">
        <v>398</v>
      </c>
      <c r="T30" s="7" t="s">
        <v>226</v>
      </c>
      <c r="U30" s="7" t="s">
        <v>152</v>
      </c>
      <c r="V30" s="8" t="s">
        <v>71</v>
      </c>
      <c r="W30" s="9"/>
      <c r="X30" s="9"/>
      <c r="Y30" s="9"/>
    </row>
    <row r="31" customFormat="false" ht="54" hidden="false" customHeight="true" outlineLevel="0" collapsed="false">
      <c r="A31" s="10" t="s">
        <v>399</v>
      </c>
      <c r="B31" s="11" t="s">
        <v>384</v>
      </c>
      <c r="C31" s="10" t="s">
        <v>400</v>
      </c>
      <c r="D31" s="11" t="s">
        <v>401</v>
      </c>
      <c r="E31" s="11" t="s">
        <v>402</v>
      </c>
      <c r="F31" s="11"/>
      <c r="G31" s="12" t="s">
        <v>57</v>
      </c>
      <c r="H31" s="12" t="s">
        <v>88</v>
      </c>
      <c r="I31" s="12" t="s">
        <v>89</v>
      </c>
      <c r="J31" s="11" t="s">
        <v>403</v>
      </c>
      <c r="K31" s="11" t="s">
        <v>404</v>
      </c>
      <c r="L31" s="11" t="s">
        <v>405</v>
      </c>
      <c r="M31" s="11" t="s">
        <v>406</v>
      </c>
      <c r="N31" s="11" t="s">
        <v>407</v>
      </c>
      <c r="O31" s="11" t="s">
        <v>408</v>
      </c>
      <c r="P31" s="11" t="s">
        <v>409</v>
      </c>
      <c r="Q31" s="11" t="s">
        <v>410</v>
      </c>
      <c r="R31" s="11" t="s">
        <v>297</v>
      </c>
      <c r="S31" s="11"/>
      <c r="T31" s="12" t="s">
        <v>411</v>
      </c>
      <c r="U31" s="12" t="s">
        <v>70</v>
      </c>
      <c r="V31" s="8" t="s">
        <v>71</v>
      </c>
      <c r="W31" s="9"/>
      <c r="X31" s="9"/>
      <c r="Y31" s="9"/>
    </row>
    <row r="32" customFormat="false" ht="54" hidden="false" customHeight="true" outlineLevel="0" collapsed="false">
      <c r="A32" s="5" t="s">
        <v>412</v>
      </c>
      <c r="B32" s="6" t="s">
        <v>384</v>
      </c>
      <c r="C32" s="5" t="s">
        <v>413</v>
      </c>
      <c r="D32" s="6" t="s">
        <v>414</v>
      </c>
      <c r="E32" s="6" t="s">
        <v>415</v>
      </c>
      <c r="F32" s="6"/>
      <c r="G32" s="7" t="s">
        <v>57</v>
      </c>
      <c r="H32" s="7" t="s">
        <v>195</v>
      </c>
      <c r="I32" s="7" t="s">
        <v>103</v>
      </c>
      <c r="J32" s="6" t="s">
        <v>416</v>
      </c>
      <c r="K32" s="6" t="s">
        <v>404</v>
      </c>
      <c r="L32" s="6" t="s">
        <v>417</v>
      </c>
      <c r="M32" s="6" t="s">
        <v>418</v>
      </c>
      <c r="N32" s="6" t="s">
        <v>419</v>
      </c>
      <c r="O32" s="6" t="s">
        <v>420</v>
      </c>
      <c r="P32" s="6" t="s">
        <v>421</v>
      </c>
      <c r="Q32" s="6" t="s">
        <v>422</v>
      </c>
      <c r="R32" s="6" t="s">
        <v>423</v>
      </c>
      <c r="S32" s="6"/>
      <c r="T32" s="7" t="s">
        <v>97</v>
      </c>
      <c r="U32" s="7" t="s">
        <v>70</v>
      </c>
      <c r="V32" s="8" t="s">
        <v>71</v>
      </c>
      <c r="W32" s="9"/>
      <c r="X32" s="9"/>
      <c r="Y32" s="9"/>
    </row>
    <row r="33" customFormat="false" ht="129" hidden="false" customHeight="true" outlineLevel="0" collapsed="false">
      <c r="A33" s="10" t="s">
        <v>424</v>
      </c>
      <c r="B33" s="11" t="s">
        <v>384</v>
      </c>
      <c r="C33" s="10" t="s">
        <v>425</v>
      </c>
      <c r="D33" s="11" t="s">
        <v>426</v>
      </c>
      <c r="E33" s="11" t="s">
        <v>427</v>
      </c>
      <c r="F33" s="11" t="s">
        <v>428</v>
      </c>
      <c r="G33" s="12" t="s">
        <v>128</v>
      </c>
      <c r="H33" s="12" t="s">
        <v>88</v>
      </c>
      <c r="I33" s="12" t="s">
        <v>59</v>
      </c>
      <c r="J33" s="11" t="s">
        <v>429</v>
      </c>
      <c r="K33" s="11" t="s">
        <v>430</v>
      </c>
      <c r="L33" s="11" t="s">
        <v>431</v>
      </c>
      <c r="M33" s="11" t="s">
        <v>432</v>
      </c>
      <c r="N33" s="11" t="s">
        <v>433</v>
      </c>
      <c r="O33" s="11" t="s">
        <v>434</v>
      </c>
      <c r="P33" s="11" t="s">
        <v>435</v>
      </c>
      <c r="Q33" s="11" t="s">
        <v>436</v>
      </c>
      <c r="R33" s="11" t="s">
        <v>437</v>
      </c>
      <c r="S33" s="11" t="s">
        <v>438</v>
      </c>
      <c r="T33" s="12" t="s">
        <v>112</v>
      </c>
      <c r="U33" s="12" t="s">
        <v>152</v>
      </c>
      <c r="V33" s="8" t="s">
        <v>71</v>
      </c>
      <c r="W33" s="9"/>
      <c r="X33" s="9"/>
      <c r="Y33" s="9"/>
    </row>
    <row r="34" customFormat="false" ht="54" hidden="false" customHeight="true" outlineLevel="0" collapsed="false">
      <c r="A34" s="5" t="s">
        <v>439</v>
      </c>
      <c r="B34" s="6" t="s">
        <v>384</v>
      </c>
      <c r="C34" s="5" t="s">
        <v>440</v>
      </c>
      <c r="D34" s="6" t="s">
        <v>441</v>
      </c>
      <c r="E34" s="6" t="s">
        <v>442</v>
      </c>
      <c r="F34" s="6"/>
      <c r="G34" s="7" t="s">
        <v>57</v>
      </c>
      <c r="H34" s="7" t="s">
        <v>88</v>
      </c>
      <c r="I34" s="7" t="s">
        <v>89</v>
      </c>
      <c r="J34" s="6" t="s">
        <v>443</v>
      </c>
      <c r="K34" s="6" t="s">
        <v>404</v>
      </c>
      <c r="L34" s="6" t="s">
        <v>444</v>
      </c>
      <c r="M34" s="6" t="s">
        <v>445</v>
      </c>
      <c r="N34" s="6" t="s">
        <v>446</v>
      </c>
      <c r="O34" s="6" t="s">
        <v>447</v>
      </c>
      <c r="P34" s="6" t="s">
        <v>448</v>
      </c>
      <c r="Q34" s="6" t="s">
        <v>422</v>
      </c>
      <c r="R34" s="6" t="s">
        <v>449</v>
      </c>
      <c r="S34" s="6"/>
      <c r="T34" s="7" t="s">
        <v>112</v>
      </c>
      <c r="U34" s="7" t="s">
        <v>70</v>
      </c>
      <c r="V34" s="8" t="s">
        <v>71</v>
      </c>
      <c r="W34" s="9"/>
      <c r="X34" s="9"/>
      <c r="Y34" s="9"/>
    </row>
    <row r="35" customFormat="false" ht="66" hidden="false" customHeight="true" outlineLevel="0" collapsed="false">
      <c r="A35" s="10" t="s">
        <v>450</v>
      </c>
      <c r="B35" s="11" t="s">
        <v>384</v>
      </c>
      <c r="C35" s="10" t="s">
        <v>451</v>
      </c>
      <c r="D35" s="11" t="s">
        <v>452</v>
      </c>
      <c r="E35" s="11" t="s">
        <v>415</v>
      </c>
      <c r="F35" s="11"/>
      <c r="G35" s="12" t="s">
        <v>128</v>
      </c>
      <c r="H35" s="12" t="s">
        <v>88</v>
      </c>
      <c r="I35" s="12" t="s">
        <v>103</v>
      </c>
      <c r="J35" s="11" t="s">
        <v>416</v>
      </c>
      <c r="K35" s="11" t="s">
        <v>453</v>
      </c>
      <c r="L35" s="11" t="s">
        <v>444</v>
      </c>
      <c r="M35" s="11" t="s">
        <v>454</v>
      </c>
      <c r="N35" s="11" t="s">
        <v>455</v>
      </c>
      <c r="O35" s="11" t="s">
        <v>456</v>
      </c>
      <c r="P35" s="11" t="s">
        <v>457</v>
      </c>
      <c r="Q35" s="11" t="s">
        <v>458</v>
      </c>
      <c r="R35" s="11" t="s">
        <v>459</v>
      </c>
      <c r="S35" s="11"/>
      <c r="T35" s="12" t="s">
        <v>112</v>
      </c>
      <c r="U35" s="12" t="s">
        <v>70</v>
      </c>
      <c r="V35" s="8" t="s">
        <v>71</v>
      </c>
      <c r="W35" s="9"/>
      <c r="X35" s="9"/>
      <c r="Y35" s="9"/>
    </row>
    <row r="36" customFormat="false" ht="54" hidden="false" customHeight="true" outlineLevel="0" collapsed="false">
      <c r="A36" s="5" t="s">
        <v>460</v>
      </c>
      <c r="B36" s="6" t="s">
        <v>461</v>
      </c>
      <c r="C36" s="5" t="s">
        <v>462</v>
      </c>
      <c r="D36" s="6" t="s">
        <v>463</v>
      </c>
      <c r="E36" s="6" t="s">
        <v>464</v>
      </c>
      <c r="F36" s="6"/>
      <c r="G36" s="7" t="s">
        <v>128</v>
      </c>
      <c r="H36" s="7" t="s">
        <v>58</v>
      </c>
      <c r="I36" s="7" t="s">
        <v>59</v>
      </c>
      <c r="J36" s="6" t="s">
        <v>465</v>
      </c>
      <c r="K36" s="6" t="s">
        <v>466</v>
      </c>
      <c r="L36" s="6" t="s">
        <v>467</v>
      </c>
      <c r="M36" s="6" t="s">
        <v>468</v>
      </c>
      <c r="N36" s="6" t="s">
        <v>469</v>
      </c>
      <c r="O36" s="6" t="s">
        <v>470</v>
      </c>
      <c r="P36" s="6" t="s">
        <v>471</v>
      </c>
      <c r="Q36" s="6" t="s">
        <v>472</v>
      </c>
      <c r="R36" s="6" t="s">
        <v>473</v>
      </c>
      <c r="S36" s="6"/>
      <c r="T36" s="7" t="s">
        <v>112</v>
      </c>
      <c r="U36" s="7" t="s">
        <v>70</v>
      </c>
      <c r="V36" s="8" t="s">
        <v>71</v>
      </c>
      <c r="W36" s="9"/>
      <c r="X36" s="9"/>
      <c r="Y36" s="9"/>
    </row>
    <row r="37" customFormat="false" ht="78.75" hidden="false" customHeight="true" outlineLevel="0" collapsed="false">
      <c r="A37" s="10" t="s">
        <v>474</v>
      </c>
      <c r="B37" s="11" t="s">
        <v>461</v>
      </c>
      <c r="C37" s="10" t="s">
        <v>475</v>
      </c>
      <c r="D37" s="11" t="s">
        <v>476</v>
      </c>
      <c r="E37" s="11" t="s">
        <v>477</v>
      </c>
      <c r="F37" s="11"/>
      <c r="G37" s="12" t="s">
        <v>57</v>
      </c>
      <c r="H37" s="12" t="s">
        <v>195</v>
      </c>
      <c r="I37" s="12" t="s">
        <v>89</v>
      </c>
      <c r="J37" s="11" t="s">
        <v>478</v>
      </c>
      <c r="K37" s="11" t="s">
        <v>479</v>
      </c>
      <c r="L37" s="11" t="s">
        <v>480</v>
      </c>
      <c r="M37" s="11" t="s">
        <v>481</v>
      </c>
      <c r="N37" s="11" t="s">
        <v>482</v>
      </c>
      <c r="O37" s="11" t="s">
        <v>483</v>
      </c>
      <c r="P37" s="11" t="s">
        <v>484</v>
      </c>
      <c r="Q37" s="11" t="s">
        <v>485</v>
      </c>
      <c r="R37" s="11" t="s">
        <v>486</v>
      </c>
      <c r="S37" s="11"/>
      <c r="T37" s="12" t="s">
        <v>112</v>
      </c>
      <c r="U37" s="12" t="s">
        <v>70</v>
      </c>
      <c r="V37" s="8" t="s">
        <v>71</v>
      </c>
      <c r="W37" s="9"/>
      <c r="X37" s="9"/>
      <c r="Y37" s="9"/>
    </row>
    <row r="38" customFormat="false" ht="103.5" hidden="false" customHeight="true" outlineLevel="0" collapsed="false">
      <c r="A38" s="5" t="s">
        <v>487</v>
      </c>
      <c r="B38" s="6" t="s">
        <v>461</v>
      </c>
      <c r="C38" s="5" t="s">
        <v>488</v>
      </c>
      <c r="D38" s="6" t="s">
        <v>489</v>
      </c>
      <c r="E38" s="6" t="s">
        <v>490</v>
      </c>
      <c r="F38" s="6"/>
      <c r="G38" s="7" t="s">
        <v>128</v>
      </c>
      <c r="H38" s="7" t="s">
        <v>142</v>
      </c>
      <c r="I38" s="7" t="s">
        <v>103</v>
      </c>
      <c r="J38" s="6" t="s">
        <v>491</v>
      </c>
      <c r="K38" s="6" t="s">
        <v>492</v>
      </c>
      <c r="L38" s="6" t="s">
        <v>493</v>
      </c>
      <c r="M38" s="6" t="s">
        <v>494</v>
      </c>
      <c r="N38" s="6" t="s">
        <v>495</v>
      </c>
      <c r="O38" s="6" t="s">
        <v>496</v>
      </c>
      <c r="P38" s="6" t="s">
        <v>497</v>
      </c>
      <c r="Q38" s="6" t="s">
        <v>498</v>
      </c>
      <c r="R38" s="6" t="s">
        <v>297</v>
      </c>
      <c r="S38" s="6"/>
      <c r="T38" s="7" t="s">
        <v>112</v>
      </c>
      <c r="U38" s="7" t="s">
        <v>70</v>
      </c>
      <c r="V38" s="8" t="s">
        <v>71</v>
      </c>
      <c r="W38" s="9"/>
      <c r="X38" s="9"/>
      <c r="Y38" s="9"/>
    </row>
    <row r="39" customFormat="false" ht="103.5" hidden="false" customHeight="true" outlineLevel="0" collapsed="false">
      <c r="A39" s="10" t="s">
        <v>499</v>
      </c>
      <c r="B39" s="11" t="s">
        <v>461</v>
      </c>
      <c r="C39" s="10" t="s">
        <v>500</v>
      </c>
      <c r="D39" s="11" t="s">
        <v>501</v>
      </c>
      <c r="E39" s="11" t="s">
        <v>490</v>
      </c>
      <c r="F39" s="11"/>
      <c r="G39" s="12" t="s">
        <v>128</v>
      </c>
      <c r="H39" s="12" t="s">
        <v>142</v>
      </c>
      <c r="I39" s="12" t="s">
        <v>103</v>
      </c>
      <c r="J39" s="11" t="s">
        <v>491</v>
      </c>
      <c r="K39" s="11" t="s">
        <v>492</v>
      </c>
      <c r="L39" s="11" t="s">
        <v>493</v>
      </c>
      <c r="M39" s="11" t="s">
        <v>502</v>
      </c>
      <c r="N39" s="11" t="s">
        <v>503</v>
      </c>
      <c r="O39" s="11" t="s">
        <v>504</v>
      </c>
      <c r="P39" s="11" t="s">
        <v>497</v>
      </c>
      <c r="Q39" s="11" t="s">
        <v>498</v>
      </c>
      <c r="R39" s="11" t="s">
        <v>297</v>
      </c>
      <c r="S39" s="11"/>
      <c r="T39" s="12" t="s">
        <v>112</v>
      </c>
      <c r="U39" s="12" t="s">
        <v>70</v>
      </c>
      <c r="V39" s="8" t="s">
        <v>71</v>
      </c>
      <c r="W39" s="9"/>
      <c r="X39" s="9"/>
      <c r="Y39" s="9"/>
    </row>
    <row r="40" customFormat="false" ht="103.5" hidden="false" customHeight="true" outlineLevel="0" collapsed="false">
      <c r="A40" s="5" t="s">
        <v>505</v>
      </c>
      <c r="B40" s="6" t="s">
        <v>461</v>
      </c>
      <c r="C40" s="5" t="s">
        <v>506</v>
      </c>
      <c r="D40" s="6" t="s">
        <v>507</v>
      </c>
      <c r="E40" s="6" t="s">
        <v>508</v>
      </c>
      <c r="F40" s="6" t="s">
        <v>509</v>
      </c>
      <c r="G40" s="7" t="s">
        <v>128</v>
      </c>
      <c r="H40" s="7" t="s">
        <v>232</v>
      </c>
      <c r="I40" s="7" t="s">
        <v>59</v>
      </c>
      <c r="J40" s="6" t="s">
        <v>510</v>
      </c>
      <c r="K40" s="6" t="s">
        <v>511</v>
      </c>
      <c r="L40" s="6" t="s">
        <v>512</v>
      </c>
      <c r="M40" s="6" t="s">
        <v>513</v>
      </c>
      <c r="N40" s="6" t="s">
        <v>514</v>
      </c>
      <c r="O40" s="6" t="s">
        <v>515</v>
      </c>
      <c r="P40" s="6" t="s">
        <v>516</v>
      </c>
      <c r="Q40" s="6" t="s">
        <v>498</v>
      </c>
      <c r="R40" s="6" t="s">
        <v>517</v>
      </c>
      <c r="S40" s="6"/>
      <c r="T40" s="7" t="s">
        <v>112</v>
      </c>
      <c r="U40" s="7" t="s">
        <v>70</v>
      </c>
      <c r="V40" s="8" t="s">
        <v>71</v>
      </c>
      <c r="W40" s="9"/>
      <c r="X40" s="9"/>
      <c r="Y40" s="9"/>
    </row>
    <row r="41" customFormat="false" ht="54" hidden="false" customHeight="true" outlineLevel="0" collapsed="false">
      <c r="A41" s="10" t="s">
        <v>518</v>
      </c>
      <c r="B41" s="11" t="s">
        <v>461</v>
      </c>
      <c r="C41" s="10" t="s">
        <v>519</v>
      </c>
      <c r="D41" s="11" t="s">
        <v>520</v>
      </c>
      <c r="E41" s="11" t="s">
        <v>521</v>
      </c>
      <c r="F41" s="11" t="s">
        <v>509</v>
      </c>
      <c r="G41" s="12" t="s">
        <v>128</v>
      </c>
      <c r="H41" s="12" t="s">
        <v>232</v>
      </c>
      <c r="I41" s="12" t="s">
        <v>103</v>
      </c>
      <c r="J41" s="11" t="s">
        <v>522</v>
      </c>
      <c r="K41" s="11" t="s">
        <v>511</v>
      </c>
      <c r="L41" s="11" t="s">
        <v>523</v>
      </c>
      <c r="M41" s="11" t="s">
        <v>524</v>
      </c>
      <c r="N41" s="11" t="s">
        <v>525</v>
      </c>
      <c r="O41" s="11" t="s">
        <v>526</v>
      </c>
      <c r="P41" s="11" t="s">
        <v>527</v>
      </c>
      <c r="Q41" s="11" t="s">
        <v>528</v>
      </c>
      <c r="R41" s="11" t="s">
        <v>529</v>
      </c>
      <c r="S41" s="11"/>
      <c r="T41" s="12" t="s">
        <v>112</v>
      </c>
      <c r="U41" s="12" t="s">
        <v>70</v>
      </c>
      <c r="V41" s="8" t="s">
        <v>71</v>
      </c>
      <c r="W41" s="9"/>
      <c r="X41" s="9"/>
      <c r="Y41" s="9"/>
    </row>
    <row r="42" customFormat="false" ht="91.5" hidden="false" customHeight="true" outlineLevel="0" collapsed="false">
      <c r="A42" s="5" t="s">
        <v>530</v>
      </c>
      <c r="B42" s="6" t="s">
        <v>461</v>
      </c>
      <c r="C42" s="5" t="s">
        <v>531</v>
      </c>
      <c r="D42" s="6" t="s">
        <v>532</v>
      </c>
      <c r="E42" s="6" t="s">
        <v>533</v>
      </c>
      <c r="F42" s="6" t="s">
        <v>534</v>
      </c>
      <c r="G42" s="7" t="s">
        <v>128</v>
      </c>
      <c r="H42" s="7" t="s">
        <v>88</v>
      </c>
      <c r="I42" s="7" t="s">
        <v>59</v>
      </c>
      <c r="J42" s="6" t="s">
        <v>535</v>
      </c>
      <c r="K42" s="6" t="s">
        <v>536</v>
      </c>
      <c r="L42" s="6" t="s">
        <v>537</v>
      </c>
      <c r="M42" s="6" t="s">
        <v>538</v>
      </c>
      <c r="N42" s="6" t="s">
        <v>539</v>
      </c>
      <c r="O42" s="6" t="s">
        <v>540</v>
      </c>
      <c r="P42" s="6" t="s">
        <v>541</v>
      </c>
      <c r="Q42" s="6" t="s">
        <v>436</v>
      </c>
      <c r="R42" s="6" t="s">
        <v>542</v>
      </c>
      <c r="S42" s="6" t="s">
        <v>438</v>
      </c>
      <c r="T42" s="7" t="s">
        <v>226</v>
      </c>
      <c r="U42" s="7" t="s">
        <v>152</v>
      </c>
      <c r="V42" s="8" t="s">
        <v>71</v>
      </c>
      <c r="W42" s="9"/>
      <c r="X42" s="9"/>
      <c r="Y42" s="9"/>
    </row>
    <row r="43" customFormat="false" ht="54" hidden="false" customHeight="true" outlineLevel="0" collapsed="false">
      <c r="A43" s="10" t="s">
        <v>543</v>
      </c>
      <c r="B43" s="11" t="s">
        <v>544</v>
      </c>
      <c r="C43" s="10" t="s">
        <v>545</v>
      </c>
      <c r="D43" s="11" t="s">
        <v>546</v>
      </c>
      <c r="E43" s="11" t="s">
        <v>547</v>
      </c>
      <c r="F43" s="11"/>
      <c r="G43" s="12" t="s">
        <v>57</v>
      </c>
      <c r="H43" s="12" t="s">
        <v>195</v>
      </c>
      <c r="I43" s="12" t="s">
        <v>103</v>
      </c>
      <c r="J43" s="11" t="s">
        <v>548</v>
      </c>
      <c r="K43" s="11" t="s">
        <v>549</v>
      </c>
      <c r="L43" s="11" t="s">
        <v>550</v>
      </c>
      <c r="M43" s="11" t="s">
        <v>551</v>
      </c>
      <c r="N43" s="11" t="s">
        <v>552</v>
      </c>
      <c r="O43" s="11" t="s">
        <v>553</v>
      </c>
      <c r="P43" s="11" t="s">
        <v>554</v>
      </c>
      <c r="Q43" s="11" t="s">
        <v>555</v>
      </c>
      <c r="R43" s="11" t="s">
        <v>556</v>
      </c>
      <c r="S43" s="11"/>
      <c r="T43" s="12" t="s">
        <v>112</v>
      </c>
      <c r="U43" s="12" t="s">
        <v>70</v>
      </c>
      <c r="V43" s="8" t="s">
        <v>71</v>
      </c>
      <c r="W43" s="9"/>
      <c r="X43" s="9"/>
      <c r="Y43" s="9"/>
    </row>
    <row r="44" customFormat="false" ht="78.75" hidden="false" customHeight="true" outlineLevel="0" collapsed="false">
      <c r="A44" s="5" t="s">
        <v>557</v>
      </c>
      <c r="B44" s="6" t="s">
        <v>544</v>
      </c>
      <c r="C44" s="5" t="s">
        <v>558</v>
      </c>
      <c r="D44" s="6" t="s">
        <v>559</v>
      </c>
      <c r="E44" s="6" t="s">
        <v>560</v>
      </c>
      <c r="F44" s="6" t="s">
        <v>561</v>
      </c>
      <c r="G44" s="7" t="s">
        <v>128</v>
      </c>
      <c r="H44" s="7" t="s">
        <v>142</v>
      </c>
      <c r="I44" s="7" t="s">
        <v>59</v>
      </c>
      <c r="J44" s="6" t="s">
        <v>562</v>
      </c>
      <c r="K44" s="6" t="s">
        <v>563</v>
      </c>
      <c r="L44" s="6" t="s">
        <v>564</v>
      </c>
      <c r="M44" s="6" t="s">
        <v>565</v>
      </c>
      <c r="N44" s="6" t="s">
        <v>566</v>
      </c>
      <c r="O44" s="6" t="s">
        <v>567</v>
      </c>
      <c r="P44" s="6" t="s">
        <v>554</v>
      </c>
      <c r="Q44" s="6" t="s">
        <v>568</v>
      </c>
      <c r="R44" s="6" t="s">
        <v>569</v>
      </c>
      <c r="S44" s="6"/>
      <c r="T44" s="7" t="s">
        <v>112</v>
      </c>
      <c r="U44" s="7" t="s">
        <v>70</v>
      </c>
      <c r="V44" s="8" t="s">
        <v>71</v>
      </c>
      <c r="W44" s="9"/>
      <c r="X44" s="9"/>
      <c r="Y44" s="9"/>
    </row>
    <row r="45" customFormat="false" ht="129" hidden="false" customHeight="true" outlineLevel="0" collapsed="false">
      <c r="A45" s="10" t="s">
        <v>570</v>
      </c>
      <c r="B45" s="11" t="s">
        <v>544</v>
      </c>
      <c r="C45" s="10" t="s">
        <v>571</v>
      </c>
      <c r="D45" s="11" t="s">
        <v>572</v>
      </c>
      <c r="E45" s="11" t="s">
        <v>573</v>
      </c>
      <c r="F45" s="11"/>
      <c r="G45" s="12" t="s">
        <v>128</v>
      </c>
      <c r="H45" s="12" t="s">
        <v>88</v>
      </c>
      <c r="I45" s="12" t="s">
        <v>103</v>
      </c>
      <c r="J45" s="11" t="s">
        <v>574</v>
      </c>
      <c r="K45" s="11" t="s">
        <v>575</v>
      </c>
      <c r="L45" s="11" t="s">
        <v>576</v>
      </c>
      <c r="M45" s="11" t="s">
        <v>577</v>
      </c>
      <c r="N45" s="11" t="s">
        <v>578</v>
      </c>
      <c r="O45" s="11" t="s">
        <v>579</v>
      </c>
      <c r="P45" s="11" t="s">
        <v>554</v>
      </c>
      <c r="Q45" s="11" t="s">
        <v>568</v>
      </c>
      <c r="R45" s="11" t="s">
        <v>580</v>
      </c>
      <c r="S45" s="11"/>
      <c r="T45" s="12" t="s">
        <v>112</v>
      </c>
      <c r="U45" s="12" t="s">
        <v>70</v>
      </c>
      <c r="V45" s="8" t="s">
        <v>71</v>
      </c>
      <c r="W45" s="9"/>
      <c r="X45" s="9"/>
      <c r="Y45" s="9"/>
    </row>
    <row r="46" customFormat="false" ht="129" hidden="false" customHeight="true" outlineLevel="0" collapsed="false">
      <c r="A46" s="5" t="s">
        <v>581</v>
      </c>
      <c r="B46" s="6" t="s">
        <v>544</v>
      </c>
      <c r="C46" s="5" t="s">
        <v>582</v>
      </c>
      <c r="D46" s="6" t="s">
        <v>583</v>
      </c>
      <c r="E46" s="6" t="s">
        <v>584</v>
      </c>
      <c r="F46" s="6"/>
      <c r="G46" s="7" t="s">
        <v>57</v>
      </c>
      <c r="H46" s="7" t="s">
        <v>142</v>
      </c>
      <c r="I46" s="7" t="s">
        <v>89</v>
      </c>
      <c r="J46" s="6" t="s">
        <v>585</v>
      </c>
      <c r="K46" s="6" t="s">
        <v>549</v>
      </c>
      <c r="L46" s="6" t="s">
        <v>586</v>
      </c>
      <c r="M46" s="6" t="s">
        <v>587</v>
      </c>
      <c r="N46" s="6" t="s">
        <v>588</v>
      </c>
      <c r="O46" s="6" t="s">
        <v>589</v>
      </c>
      <c r="P46" s="6" t="s">
        <v>554</v>
      </c>
      <c r="Q46" s="6" t="s">
        <v>555</v>
      </c>
      <c r="R46" s="6" t="s">
        <v>590</v>
      </c>
      <c r="S46" s="6"/>
      <c r="T46" s="7" t="s">
        <v>112</v>
      </c>
      <c r="U46" s="7" t="s">
        <v>70</v>
      </c>
      <c r="V46" s="8" t="s">
        <v>71</v>
      </c>
      <c r="W46" s="9"/>
      <c r="X46" s="9"/>
      <c r="Y46" s="9"/>
    </row>
    <row r="47" customFormat="false" ht="54" hidden="false" customHeight="true" outlineLevel="0" collapsed="false">
      <c r="A47" s="10" t="s">
        <v>591</v>
      </c>
      <c r="B47" s="11" t="s">
        <v>544</v>
      </c>
      <c r="C47" s="10" t="s">
        <v>592</v>
      </c>
      <c r="D47" s="11" t="s">
        <v>593</v>
      </c>
      <c r="E47" s="11" t="s">
        <v>594</v>
      </c>
      <c r="F47" s="11" t="s">
        <v>595</v>
      </c>
      <c r="G47" s="12" t="s">
        <v>128</v>
      </c>
      <c r="H47" s="12" t="s">
        <v>88</v>
      </c>
      <c r="I47" s="12" t="s">
        <v>103</v>
      </c>
      <c r="J47" s="11" t="s">
        <v>596</v>
      </c>
      <c r="K47" s="11" t="s">
        <v>597</v>
      </c>
      <c r="L47" s="11" t="s">
        <v>598</v>
      </c>
      <c r="M47" s="11" t="s">
        <v>599</v>
      </c>
      <c r="N47" s="11" t="s">
        <v>600</v>
      </c>
      <c r="O47" s="11" t="s">
        <v>601</v>
      </c>
      <c r="P47" s="11" t="s">
        <v>554</v>
      </c>
      <c r="Q47" s="11" t="s">
        <v>568</v>
      </c>
      <c r="R47" s="11" t="s">
        <v>602</v>
      </c>
      <c r="S47" s="11"/>
      <c r="T47" s="12" t="s">
        <v>112</v>
      </c>
      <c r="U47" s="12" t="s">
        <v>70</v>
      </c>
      <c r="V47" s="8" t="s">
        <v>71</v>
      </c>
      <c r="W47" s="9"/>
      <c r="X47" s="9"/>
      <c r="Y47" s="9"/>
    </row>
    <row r="48" customFormat="false" ht="78.75" hidden="false" customHeight="true" outlineLevel="0" collapsed="false">
      <c r="A48" s="5" t="s">
        <v>603</v>
      </c>
      <c r="B48" s="6" t="s">
        <v>544</v>
      </c>
      <c r="C48" s="5" t="s">
        <v>604</v>
      </c>
      <c r="D48" s="6" t="s">
        <v>605</v>
      </c>
      <c r="E48" s="6" t="s">
        <v>606</v>
      </c>
      <c r="F48" s="6"/>
      <c r="G48" s="7" t="s">
        <v>57</v>
      </c>
      <c r="H48" s="7" t="s">
        <v>195</v>
      </c>
      <c r="I48" s="7" t="s">
        <v>89</v>
      </c>
      <c r="J48" s="6" t="s">
        <v>607</v>
      </c>
      <c r="K48" s="6" t="s">
        <v>549</v>
      </c>
      <c r="L48" s="6" t="s">
        <v>608</v>
      </c>
      <c r="M48" s="6" t="s">
        <v>609</v>
      </c>
      <c r="N48" s="6" t="s">
        <v>610</v>
      </c>
      <c r="O48" s="6" t="s">
        <v>611</v>
      </c>
      <c r="P48" s="6" t="s">
        <v>612</v>
      </c>
      <c r="Q48" s="6" t="s">
        <v>555</v>
      </c>
      <c r="R48" s="6" t="s">
        <v>613</v>
      </c>
      <c r="S48" s="6" t="s">
        <v>225</v>
      </c>
      <c r="T48" s="7" t="s">
        <v>326</v>
      </c>
      <c r="U48" s="7" t="s">
        <v>152</v>
      </c>
      <c r="V48" s="8" t="s">
        <v>71</v>
      </c>
      <c r="W48" s="9"/>
      <c r="X48" s="9"/>
      <c r="Y48" s="9"/>
    </row>
    <row r="49" customFormat="false" ht="66" hidden="false" customHeight="true" outlineLevel="0" collapsed="false">
      <c r="A49" s="10" t="s">
        <v>614</v>
      </c>
      <c r="B49" s="11" t="s">
        <v>544</v>
      </c>
      <c r="C49" s="10" t="s">
        <v>615</v>
      </c>
      <c r="D49" s="11" t="s">
        <v>616</v>
      </c>
      <c r="E49" s="11" t="s">
        <v>547</v>
      </c>
      <c r="F49" s="11" t="s">
        <v>509</v>
      </c>
      <c r="G49" s="12" t="s">
        <v>128</v>
      </c>
      <c r="H49" s="12" t="s">
        <v>232</v>
      </c>
      <c r="I49" s="12" t="s">
        <v>103</v>
      </c>
      <c r="J49" s="11" t="s">
        <v>548</v>
      </c>
      <c r="K49" s="11" t="s">
        <v>617</v>
      </c>
      <c r="L49" s="11" t="s">
        <v>618</v>
      </c>
      <c r="M49" s="11" t="s">
        <v>619</v>
      </c>
      <c r="N49" s="11" t="s">
        <v>620</v>
      </c>
      <c r="O49" s="11" t="s">
        <v>621</v>
      </c>
      <c r="P49" s="11" t="s">
        <v>622</v>
      </c>
      <c r="Q49" s="11" t="s">
        <v>568</v>
      </c>
      <c r="R49" s="11" t="s">
        <v>623</v>
      </c>
      <c r="S49" s="11"/>
      <c r="T49" s="12" t="s">
        <v>112</v>
      </c>
      <c r="U49" s="12" t="s">
        <v>70</v>
      </c>
      <c r="V49" s="8" t="s">
        <v>71</v>
      </c>
      <c r="W49" s="9"/>
      <c r="X49" s="9"/>
      <c r="Y49" s="9"/>
    </row>
    <row r="50" customFormat="false" ht="166.5" hidden="false" customHeight="true" outlineLevel="0" collapsed="false">
      <c r="A50" s="5" t="s">
        <v>624</v>
      </c>
      <c r="B50" s="6" t="s">
        <v>625</v>
      </c>
      <c r="C50" s="5" t="s">
        <v>626</v>
      </c>
      <c r="D50" s="6" t="s">
        <v>627</v>
      </c>
      <c r="E50" s="6" t="s">
        <v>628</v>
      </c>
      <c r="F50" s="6"/>
      <c r="G50" s="7" t="s">
        <v>57</v>
      </c>
      <c r="H50" s="7" t="s">
        <v>58</v>
      </c>
      <c r="I50" s="7" t="s">
        <v>59</v>
      </c>
      <c r="J50" s="6" t="s">
        <v>629</v>
      </c>
      <c r="K50" s="6" t="s">
        <v>630</v>
      </c>
      <c r="L50" s="6" t="s">
        <v>631</v>
      </c>
      <c r="M50" s="6" t="s">
        <v>632</v>
      </c>
      <c r="N50" s="6" t="s">
        <v>633</v>
      </c>
      <c r="O50" s="6" t="s">
        <v>634</v>
      </c>
      <c r="P50" s="6" t="s">
        <v>635</v>
      </c>
      <c r="Q50" s="6" t="s">
        <v>636</v>
      </c>
      <c r="R50" s="6" t="s">
        <v>637</v>
      </c>
      <c r="S50" s="6"/>
      <c r="T50" s="7" t="s">
        <v>112</v>
      </c>
      <c r="U50" s="7" t="s">
        <v>70</v>
      </c>
      <c r="V50" s="8" t="s">
        <v>71</v>
      </c>
      <c r="W50" s="9"/>
      <c r="X50" s="9"/>
      <c r="Y50" s="9"/>
    </row>
    <row r="51" customFormat="false" ht="54" hidden="false" customHeight="true" outlineLevel="0" collapsed="false">
      <c r="A51" s="10" t="s">
        <v>638</v>
      </c>
      <c r="B51" s="11" t="s">
        <v>625</v>
      </c>
      <c r="C51" s="10" t="s">
        <v>639</v>
      </c>
      <c r="D51" s="11" t="s">
        <v>640</v>
      </c>
      <c r="E51" s="11" t="s">
        <v>641</v>
      </c>
      <c r="F51" s="11" t="s">
        <v>642</v>
      </c>
      <c r="G51" s="12" t="s">
        <v>57</v>
      </c>
      <c r="H51" s="12" t="s">
        <v>142</v>
      </c>
      <c r="I51" s="12" t="s">
        <v>59</v>
      </c>
      <c r="J51" s="11" t="s">
        <v>643</v>
      </c>
      <c r="K51" s="11" t="s">
        <v>644</v>
      </c>
      <c r="L51" s="11" t="s">
        <v>631</v>
      </c>
      <c r="M51" s="11" t="s">
        <v>645</v>
      </c>
      <c r="N51" s="11" t="s">
        <v>646</v>
      </c>
      <c r="O51" s="11" t="s">
        <v>647</v>
      </c>
      <c r="P51" s="11" t="s">
        <v>648</v>
      </c>
      <c r="Q51" s="11" t="s">
        <v>636</v>
      </c>
      <c r="R51" s="11" t="s">
        <v>649</v>
      </c>
      <c r="S51" s="11"/>
      <c r="T51" s="12" t="s">
        <v>97</v>
      </c>
      <c r="U51" s="12" t="s">
        <v>70</v>
      </c>
      <c r="V51" s="8" t="s">
        <v>71</v>
      </c>
      <c r="W51" s="9"/>
      <c r="X51" s="9"/>
      <c r="Y51" s="9"/>
    </row>
    <row r="52" customFormat="false" ht="41.25" hidden="false" customHeight="true" outlineLevel="0" collapsed="false">
      <c r="A52" s="5" t="s">
        <v>650</v>
      </c>
      <c r="B52" s="6" t="s">
        <v>625</v>
      </c>
      <c r="C52" s="5" t="s">
        <v>651</v>
      </c>
      <c r="D52" s="6" t="s">
        <v>652</v>
      </c>
      <c r="E52" s="6" t="s">
        <v>641</v>
      </c>
      <c r="F52" s="6" t="s">
        <v>642</v>
      </c>
      <c r="G52" s="7" t="s">
        <v>57</v>
      </c>
      <c r="H52" s="7" t="s">
        <v>142</v>
      </c>
      <c r="I52" s="7" t="s">
        <v>59</v>
      </c>
      <c r="J52" s="6" t="s">
        <v>643</v>
      </c>
      <c r="K52" s="6" t="s">
        <v>644</v>
      </c>
      <c r="L52" s="6" t="s">
        <v>631</v>
      </c>
      <c r="M52" s="6" t="s">
        <v>653</v>
      </c>
      <c r="N52" s="6" t="s">
        <v>654</v>
      </c>
      <c r="O52" s="6" t="s">
        <v>655</v>
      </c>
      <c r="P52" s="6" t="s">
        <v>648</v>
      </c>
      <c r="Q52" s="6" t="s">
        <v>636</v>
      </c>
      <c r="R52" s="6" t="s">
        <v>297</v>
      </c>
      <c r="S52" s="6"/>
      <c r="T52" s="7" t="s">
        <v>97</v>
      </c>
      <c r="U52" s="7" t="s">
        <v>70</v>
      </c>
      <c r="V52" s="8" t="s">
        <v>71</v>
      </c>
      <c r="W52" s="9"/>
      <c r="X52" s="9"/>
      <c r="Y52" s="9"/>
    </row>
    <row r="53" customFormat="false" ht="54" hidden="false" customHeight="true" outlineLevel="0" collapsed="false">
      <c r="A53" s="10" t="s">
        <v>656</v>
      </c>
      <c r="B53" s="11" t="s">
        <v>625</v>
      </c>
      <c r="C53" s="10" t="s">
        <v>657</v>
      </c>
      <c r="D53" s="11" t="s">
        <v>658</v>
      </c>
      <c r="E53" s="11" t="s">
        <v>641</v>
      </c>
      <c r="F53" s="11" t="s">
        <v>642</v>
      </c>
      <c r="G53" s="12" t="s">
        <v>57</v>
      </c>
      <c r="H53" s="12" t="s">
        <v>142</v>
      </c>
      <c r="I53" s="12" t="s">
        <v>59</v>
      </c>
      <c r="J53" s="11" t="s">
        <v>643</v>
      </c>
      <c r="K53" s="11" t="s">
        <v>644</v>
      </c>
      <c r="L53" s="11" t="s">
        <v>659</v>
      </c>
      <c r="M53" s="11" t="s">
        <v>660</v>
      </c>
      <c r="N53" s="11" t="s">
        <v>661</v>
      </c>
      <c r="O53" s="11" t="s">
        <v>662</v>
      </c>
      <c r="P53" s="11" t="s">
        <v>648</v>
      </c>
      <c r="Q53" s="11" t="s">
        <v>636</v>
      </c>
      <c r="R53" s="11" t="s">
        <v>663</v>
      </c>
      <c r="S53" s="11"/>
      <c r="T53" s="12" t="s">
        <v>97</v>
      </c>
      <c r="U53" s="12" t="s">
        <v>70</v>
      </c>
      <c r="V53" s="8" t="s">
        <v>71</v>
      </c>
      <c r="W53" s="9"/>
      <c r="X53" s="9"/>
      <c r="Y53" s="9"/>
    </row>
    <row r="54" customFormat="false" ht="66" hidden="false" customHeight="true" outlineLevel="0" collapsed="false">
      <c r="A54" s="5" t="s">
        <v>664</v>
      </c>
      <c r="B54" s="6" t="s">
        <v>625</v>
      </c>
      <c r="C54" s="5" t="s">
        <v>665</v>
      </c>
      <c r="D54" s="6" t="s">
        <v>666</v>
      </c>
      <c r="E54" s="6" t="s">
        <v>667</v>
      </c>
      <c r="F54" s="6" t="s">
        <v>668</v>
      </c>
      <c r="G54" s="7" t="s">
        <v>57</v>
      </c>
      <c r="H54" s="7" t="s">
        <v>88</v>
      </c>
      <c r="I54" s="7" t="s">
        <v>59</v>
      </c>
      <c r="J54" s="6" t="s">
        <v>669</v>
      </c>
      <c r="K54" s="6" t="s">
        <v>670</v>
      </c>
      <c r="L54" s="6" t="s">
        <v>631</v>
      </c>
      <c r="M54" s="6" t="s">
        <v>671</v>
      </c>
      <c r="N54" s="6" t="s">
        <v>672</v>
      </c>
      <c r="O54" s="6" t="s">
        <v>673</v>
      </c>
      <c r="P54" s="6" t="s">
        <v>674</v>
      </c>
      <c r="Q54" s="6" t="s">
        <v>636</v>
      </c>
      <c r="R54" s="6" t="s">
        <v>675</v>
      </c>
      <c r="S54" s="6"/>
      <c r="T54" s="7" t="s">
        <v>112</v>
      </c>
      <c r="U54" s="7" t="s">
        <v>70</v>
      </c>
      <c r="V54" s="8" t="s">
        <v>71</v>
      </c>
      <c r="W54" s="9"/>
      <c r="X54" s="9"/>
      <c r="Y54" s="9"/>
    </row>
    <row r="55" customFormat="false" ht="54" hidden="false" customHeight="true" outlineLevel="0" collapsed="false">
      <c r="A55" s="10" t="s">
        <v>676</v>
      </c>
      <c r="B55" s="11" t="s">
        <v>625</v>
      </c>
      <c r="C55" s="10" t="s">
        <v>677</v>
      </c>
      <c r="D55" s="11" t="s">
        <v>678</v>
      </c>
      <c r="E55" s="11" t="s">
        <v>679</v>
      </c>
      <c r="F55" s="11"/>
      <c r="G55" s="12" t="s">
        <v>57</v>
      </c>
      <c r="H55" s="12" t="s">
        <v>195</v>
      </c>
      <c r="I55" s="12" t="s">
        <v>89</v>
      </c>
      <c r="J55" s="11" t="s">
        <v>680</v>
      </c>
      <c r="K55" s="11" t="s">
        <v>681</v>
      </c>
      <c r="L55" s="11" t="s">
        <v>631</v>
      </c>
      <c r="M55" s="11" t="s">
        <v>682</v>
      </c>
      <c r="N55" s="11" t="s">
        <v>683</v>
      </c>
      <c r="O55" s="11" t="s">
        <v>684</v>
      </c>
      <c r="P55" s="11" t="s">
        <v>685</v>
      </c>
      <c r="Q55" s="11" t="s">
        <v>636</v>
      </c>
      <c r="R55" s="11" t="s">
        <v>686</v>
      </c>
      <c r="S55" s="11"/>
      <c r="T55" s="12" t="s">
        <v>112</v>
      </c>
      <c r="U55" s="12" t="s">
        <v>70</v>
      </c>
      <c r="V55" s="8" t="s">
        <v>71</v>
      </c>
      <c r="W55" s="9"/>
      <c r="X55" s="9"/>
      <c r="Y55" s="9"/>
    </row>
    <row r="56" customFormat="false" ht="41.25" hidden="false" customHeight="true" outlineLevel="0" collapsed="false">
      <c r="A56" s="5" t="s">
        <v>687</v>
      </c>
      <c r="B56" s="6" t="s">
        <v>625</v>
      </c>
      <c r="C56" s="5" t="s">
        <v>688</v>
      </c>
      <c r="D56" s="6" t="s">
        <v>689</v>
      </c>
      <c r="E56" s="6" t="s">
        <v>679</v>
      </c>
      <c r="F56" s="6"/>
      <c r="G56" s="7" t="s">
        <v>57</v>
      </c>
      <c r="H56" s="7" t="s">
        <v>195</v>
      </c>
      <c r="I56" s="7" t="s">
        <v>89</v>
      </c>
      <c r="J56" s="6" t="s">
        <v>680</v>
      </c>
      <c r="K56" s="6" t="s">
        <v>681</v>
      </c>
      <c r="L56" s="6" t="s">
        <v>631</v>
      </c>
      <c r="M56" s="6" t="s">
        <v>690</v>
      </c>
      <c r="N56" s="6" t="s">
        <v>691</v>
      </c>
      <c r="O56" s="6" t="s">
        <v>692</v>
      </c>
      <c r="P56" s="6" t="s">
        <v>693</v>
      </c>
      <c r="Q56" s="6" t="s">
        <v>636</v>
      </c>
      <c r="R56" s="6" t="s">
        <v>694</v>
      </c>
      <c r="S56" s="6"/>
      <c r="T56" s="7" t="s">
        <v>112</v>
      </c>
      <c r="U56" s="7" t="s">
        <v>70</v>
      </c>
      <c r="V56" s="8" t="s">
        <v>71</v>
      </c>
      <c r="W56" s="9"/>
      <c r="X56" s="9"/>
      <c r="Y56" s="9"/>
    </row>
    <row r="57" customFormat="false" ht="66" hidden="false" customHeight="true" outlineLevel="0" collapsed="false">
      <c r="A57" s="10" t="s">
        <v>695</v>
      </c>
      <c r="B57" s="11" t="s">
        <v>625</v>
      </c>
      <c r="C57" s="10" t="s">
        <v>696</v>
      </c>
      <c r="D57" s="11" t="s">
        <v>697</v>
      </c>
      <c r="E57" s="11" t="s">
        <v>698</v>
      </c>
      <c r="F57" s="11" t="s">
        <v>699</v>
      </c>
      <c r="G57" s="12" t="s">
        <v>128</v>
      </c>
      <c r="H57" s="12" t="s">
        <v>88</v>
      </c>
      <c r="I57" s="12" t="s">
        <v>103</v>
      </c>
      <c r="J57" s="11" t="s">
        <v>700</v>
      </c>
      <c r="K57" s="11" t="s">
        <v>701</v>
      </c>
      <c r="L57" s="11" t="s">
        <v>702</v>
      </c>
      <c r="M57" s="11" t="s">
        <v>703</v>
      </c>
      <c r="N57" s="11" t="s">
        <v>704</v>
      </c>
      <c r="O57" s="11" t="s">
        <v>705</v>
      </c>
      <c r="P57" s="11" t="s">
        <v>706</v>
      </c>
      <c r="Q57" s="11" t="s">
        <v>707</v>
      </c>
      <c r="R57" s="11" t="s">
        <v>708</v>
      </c>
      <c r="S57" s="11"/>
      <c r="T57" s="12" t="s">
        <v>97</v>
      </c>
      <c r="U57" s="12" t="s">
        <v>70</v>
      </c>
      <c r="V57" s="8" t="s">
        <v>71</v>
      </c>
      <c r="W57" s="9"/>
      <c r="X57" s="9"/>
      <c r="Y57" s="9"/>
    </row>
    <row r="58" customFormat="false" ht="54" hidden="false" customHeight="true" outlineLevel="0" collapsed="false">
      <c r="A58" s="5" t="s">
        <v>709</v>
      </c>
      <c r="B58" s="6" t="s">
        <v>625</v>
      </c>
      <c r="C58" s="5" t="s">
        <v>710</v>
      </c>
      <c r="D58" s="6" t="s">
        <v>711</v>
      </c>
      <c r="E58" s="6" t="s">
        <v>712</v>
      </c>
      <c r="F58" s="6"/>
      <c r="G58" s="7" t="s">
        <v>57</v>
      </c>
      <c r="H58" s="7" t="s">
        <v>195</v>
      </c>
      <c r="I58" s="7" t="s">
        <v>89</v>
      </c>
      <c r="J58" s="6" t="s">
        <v>713</v>
      </c>
      <c r="K58" s="6" t="s">
        <v>681</v>
      </c>
      <c r="L58" s="6" t="s">
        <v>714</v>
      </c>
      <c r="M58" s="6" t="s">
        <v>715</v>
      </c>
      <c r="N58" s="6" t="s">
        <v>716</v>
      </c>
      <c r="O58" s="6" t="s">
        <v>717</v>
      </c>
      <c r="P58" s="6" t="s">
        <v>648</v>
      </c>
      <c r="Q58" s="6" t="s">
        <v>636</v>
      </c>
      <c r="R58" s="6" t="s">
        <v>718</v>
      </c>
      <c r="S58" s="6"/>
      <c r="T58" s="7" t="s">
        <v>97</v>
      </c>
      <c r="U58" s="7" t="s">
        <v>70</v>
      </c>
      <c r="V58" s="8" t="s">
        <v>71</v>
      </c>
      <c r="W58" s="9"/>
      <c r="X58" s="9"/>
      <c r="Y58" s="9"/>
    </row>
    <row r="59" customFormat="false" ht="78.75" hidden="false" customHeight="true" outlineLevel="0" collapsed="false">
      <c r="A59" s="10" t="s">
        <v>719</v>
      </c>
      <c r="B59" s="11" t="s">
        <v>720</v>
      </c>
      <c r="C59" s="10" t="s">
        <v>721</v>
      </c>
      <c r="D59" s="11" t="s">
        <v>722</v>
      </c>
      <c r="E59" s="11" t="s">
        <v>723</v>
      </c>
      <c r="F59" s="11"/>
      <c r="G59" s="12" t="s">
        <v>128</v>
      </c>
      <c r="H59" s="12" t="s">
        <v>58</v>
      </c>
      <c r="I59" s="12" t="s">
        <v>59</v>
      </c>
      <c r="J59" s="11" t="s">
        <v>724</v>
      </c>
      <c r="K59" s="11" t="s">
        <v>725</v>
      </c>
      <c r="L59" s="11" t="s">
        <v>726</v>
      </c>
      <c r="M59" s="11" t="s">
        <v>727</v>
      </c>
      <c r="N59" s="11" t="s">
        <v>728</v>
      </c>
      <c r="O59" s="11" t="s">
        <v>729</v>
      </c>
      <c r="P59" s="11" t="s">
        <v>730</v>
      </c>
      <c r="Q59" s="11" t="s">
        <v>731</v>
      </c>
      <c r="R59" s="11" t="s">
        <v>732</v>
      </c>
      <c r="S59" s="11"/>
      <c r="T59" s="12" t="s">
        <v>69</v>
      </c>
      <c r="U59" s="12" t="s">
        <v>70</v>
      </c>
      <c r="V59" s="8" t="s">
        <v>71</v>
      </c>
      <c r="W59" s="9"/>
      <c r="X59" s="9"/>
      <c r="Y59" s="9"/>
    </row>
    <row r="60" customFormat="false" ht="78.75" hidden="false" customHeight="true" outlineLevel="0" collapsed="false">
      <c r="A60" s="5" t="s">
        <v>733</v>
      </c>
      <c r="B60" s="6" t="s">
        <v>720</v>
      </c>
      <c r="C60" s="5" t="s">
        <v>734</v>
      </c>
      <c r="D60" s="6" t="s">
        <v>735</v>
      </c>
      <c r="E60" s="6" t="s">
        <v>402</v>
      </c>
      <c r="F60" s="6"/>
      <c r="G60" s="7" t="s">
        <v>128</v>
      </c>
      <c r="H60" s="7" t="s">
        <v>88</v>
      </c>
      <c r="I60" s="7" t="s">
        <v>89</v>
      </c>
      <c r="J60" s="6" t="s">
        <v>403</v>
      </c>
      <c r="K60" s="6" t="s">
        <v>736</v>
      </c>
      <c r="L60" s="6" t="s">
        <v>726</v>
      </c>
      <c r="M60" s="6" t="s">
        <v>737</v>
      </c>
      <c r="N60" s="6" t="s">
        <v>738</v>
      </c>
      <c r="O60" s="6" t="s">
        <v>739</v>
      </c>
      <c r="P60" s="6" t="s">
        <v>730</v>
      </c>
      <c r="Q60" s="6" t="s">
        <v>740</v>
      </c>
      <c r="R60" s="6" t="s">
        <v>297</v>
      </c>
      <c r="S60" s="6"/>
      <c r="T60" s="7" t="s">
        <v>112</v>
      </c>
      <c r="U60" s="7" t="s">
        <v>70</v>
      </c>
      <c r="V60" s="8" t="s">
        <v>71</v>
      </c>
      <c r="W60" s="9"/>
      <c r="X60" s="9"/>
      <c r="Y60" s="9"/>
    </row>
    <row r="61" customFormat="false" ht="91.5" hidden="false" customHeight="true" outlineLevel="0" collapsed="false">
      <c r="A61" s="10" t="s">
        <v>741</v>
      </c>
      <c r="B61" s="11" t="s">
        <v>720</v>
      </c>
      <c r="C61" s="10" t="s">
        <v>742</v>
      </c>
      <c r="D61" s="11" t="s">
        <v>743</v>
      </c>
      <c r="E61" s="11" t="s">
        <v>402</v>
      </c>
      <c r="F61" s="11"/>
      <c r="G61" s="12" t="s">
        <v>128</v>
      </c>
      <c r="H61" s="12" t="s">
        <v>142</v>
      </c>
      <c r="I61" s="12" t="s">
        <v>89</v>
      </c>
      <c r="J61" s="11" t="s">
        <v>403</v>
      </c>
      <c r="K61" s="11" t="s">
        <v>736</v>
      </c>
      <c r="L61" s="11" t="s">
        <v>726</v>
      </c>
      <c r="M61" s="11" t="s">
        <v>744</v>
      </c>
      <c r="N61" s="11" t="s">
        <v>745</v>
      </c>
      <c r="O61" s="11" t="s">
        <v>746</v>
      </c>
      <c r="P61" s="11" t="s">
        <v>730</v>
      </c>
      <c r="Q61" s="11" t="s">
        <v>731</v>
      </c>
      <c r="R61" s="11" t="s">
        <v>747</v>
      </c>
      <c r="S61" s="11" t="s">
        <v>748</v>
      </c>
      <c r="T61" s="12" t="s">
        <v>226</v>
      </c>
      <c r="U61" s="12" t="s">
        <v>152</v>
      </c>
      <c r="V61" s="8" t="s">
        <v>71</v>
      </c>
      <c r="W61" s="9"/>
      <c r="X61" s="9"/>
      <c r="Y61" s="9"/>
    </row>
    <row r="62" customFormat="false" ht="54" hidden="false" customHeight="true" outlineLevel="0" collapsed="false">
      <c r="A62" s="5" t="s">
        <v>749</v>
      </c>
      <c r="B62" s="6" t="s">
        <v>720</v>
      </c>
      <c r="C62" s="5" t="s">
        <v>750</v>
      </c>
      <c r="D62" s="6" t="s">
        <v>751</v>
      </c>
      <c r="E62" s="6" t="s">
        <v>752</v>
      </c>
      <c r="F62" s="6" t="s">
        <v>753</v>
      </c>
      <c r="G62" s="7" t="s">
        <v>128</v>
      </c>
      <c r="H62" s="7" t="s">
        <v>88</v>
      </c>
      <c r="I62" s="7" t="s">
        <v>59</v>
      </c>
      <c r="J62" s="6" t="s">
        <v>754</v>
      </c>
      <c r="K62" s="6" t="s">
        <v>755</v>
      </c>
      <c r="L62" s="6" t="s">
        <v>756</v>
      </c>
      <c r="M62" s="6" t="s">
        <v>757</v>
      </c>
      <c r="N62" s="6" t="s">
        <v>758</v>
      </c>
      <c r="O62" s="6" t="s">
        <v>759</v>
      </c>
      <c r="P62" s="6" t="s">
        <v>760</v>
      </c>
      <c r="Q62" s="6" t="s">
        <v>761</v>
      </c>
      <c r="R62" s="6" t="s">
        <v>762</v>
      </c>
      <c r="S62" s="6"/>
      <c r="T62" s="7" t="s">
        <v>112</v>
      </c>
      <c r="U62" s="7" t="s">
        <v>70</v>
      </c>
      <c r="V62" s="8" t="s">
        <v>71</v>
      </c>
      <c r="W62" s="9"/>
      <c r="X62" s="9"/>
      <c r="Y62" s="9"/>
    </row>
    <row r="63" customFormat="false" ht="54" hidden="false" customHeight="true" outlineLevel="0" collapsed="false">
      <c r="A63" s="10" t="s">
        <v>763</v>
      </c>
      <c r="B63" s="11" t="s">
        <v>720</v>
      </c>
      <c r="C63" s="10" t="s">
        <v>764</v>
      </c>
      <c r="D63" s="11" t="s">
        <v>765</v>
      </c>
      <c r="E63" s="11" t="s">
        <v>766</v>
      </c>
      <c r="F63" s="11"/>
      <c r="G63" s="12" t="s">
        <v>57</v>
      </c>
      <c r="H63" s="12" t="s">
        <v>195</v>
      </c>
      <c r="I63" s="12" t="s">
        <v>103</v>
      </c>
      <c r="J63" s="11" t="s">
        <v>767</v>
      </c>
      <c r="K63" s="11" t="s">
        <v>768</v>
      </c>
      <c r="L63" s="11" t="s">
        <v>769</v>
      </c>
      <c r="M63" s="11" t="s">
        <v>770</v>
      </c>
      <c r="N63" s="11" t="s">
        <v>771</v>
      </c>
      <c r="O63" s="11" t="s">
        <v>772</v>
      </c>
      <c r="P63" s="11" t="s">
        <v>773</v>
      </c>
      <c r="Q63" s="11" t="s">
        <v>774</v>
      </c>
      <c r="R63" s="11" t="s">
        <v>556</v>
      </c>
      <c r="S63" s="11"/>
      <c r="T63" s="12" t="s">
        <v>112</v>
      </c>
      <c r="U63" s="12" t="s">
        <v>70</v>
      </c>
      <c r="V63" s="8" t="s">
        <v>71</v>
      </c>
      <c r="W63" s="9"/>
      <c r="X63" s="9"/>
      <c r="Y63" s="9"/>
    </row>
    <row r="64" customFormat="false" ht="28.5" hidden="false" customHeight="true" outlineLevel="0" collapsed="false">
      <c r="A64" s="5" t="s">
        <v>775</v>
      </c>
      <c r="B64" s="6" t="s">
        <v>720</v>
      </c>
      <c r="C64" s="5" t="s">
        <v>776</v>
      </c>
      <c r="D64" s="6" t="s">
        <v>777</v>
      </c>
      <c r="E64" s="6" t="s">
        <v>778</v>
      </c>
      <c r="F64" s="6"/>
      <c r="G64" s="7" t="s">
        <v>57</v>
      </c>
      <c r="H64" s="7" t="s">
        <v>195</v>
      </c>
      <c r="I64" s="7" t="s">
        <v>89</v>
      </c>
      <c r="J64" s="6" t="s">
        <v>779</v>
      </c>
      <c r="K64" s="6" t="s">
        <v>768</v>
      </c>
      <c r="L64" s="6" t="s">
        <v>780</v>
      </c>
      <c r="M64" s="6" t="s">
        <v>770</v>
      </c>
      <c r="N64" s="6" t="s">
        <v>781</v>
      </c>
      <c r="O64" s="6" t="s">
        <v>782</v>
      </c>
      <c r="P64" s="6" t="s">
        <v>783</v>
      </c>
      <c r="Q64" s="6" t="s">
        <v>774</v>
      </c>
      <c r="R64" s="6" t="s">
        <v>784</v>
      </c>
      <c r="S64" s="6" t="s">
        <v>225</v>
      </c>
      <c r="T64" s="7" t="s">
        <v>326</v>
      </c>
      <c r="U64" s="7" t="s">
        <v>152</v>
      </c>
      <c r="V64" s="8" t="s">
        <v>71</v>
      </c>
      <c r="W64" s="9"/>
      <c r="X64" s="9"/>
      <c r="Y64" s="9"/>
    </row>
    <row r="65" customFormat="false" ht="116.25" hidden="false" customHeight="true" outlineLevel="0" collapsed="false">
      <c r="A65" s="10" t="s">
        <v>785</v>
      </c>
      <c r="B65" s="11" t="s">
        <v>720</v>
      </c>
      <c r="C65" s="10" t="s">
        <v>786</v>
      </c>
      <c r="D65" s="11" t="s">
        <v>787</v>
      </c>
      <c r="E65" s="11" t="s">
        <v>788</v>
      </c>
      <c r="F65" s="11" t="s">
        <v>789</v>
      </c>
      <c r="G65" s="12" t="s">
        <v>128</v>
      </c>
      <c r="H65" s="12" t="s">
        <v>88</v>
      </c>
      <c r="I65" s="12" t="s">
        <v>59</v>
      </c>
      <c r="J65" s="11" t="s">
        <v>790</v>
      </c>
      <c r="K65" s="11" t="s">
        <v>791</v>
      </c>
      <c r="L65" s="11" t="s">
        <v>792</v>
      </c>
      <c r="M65" s="11" t="s">
        <v>793</v>
      </c>
      <c r="N65" s="11" t="s">
        <v>794</v>
      </c>
      <c r="O65" s="11" t="s">
        <v>795</v>
      </c>
      <c r="P65" s="11" t="s">
        <v>796</v>
      </c>
      <c r="Q65" s="11" t="s">
        <v>797</v>
      </c>
      <c r="R65" s="11" t="s">
        <v>798</v>
      </c>
      <c r="S65" s="11"/>
      <c r="T65" s="12" t="s">
        <v>112</v>
      </c>
      <c r="U65" s="12" t="s">
        <v>70</v>
      </c>
      <c r="V65" s="8" t="s">
        <v>71</v>
      </c>
      <c r="W65" s="9"/>
      <c r="X65" s="9"/>
      <c r="Y65" s="9"/>
    </row>
    <row r="66" customFormat="false" ht="66" hidden="false" customHeight="true" outlineLevel="0" collapsed="false">
      <c r="A66" s="5" t="s">
        <v>799</v>
      </c>
      <c r="B66" s="6" t="s">
        <v>800</v>
      </c>
      <c r="C66" s="5" t="s">
        <v>801</v>
      </c>
      <c r="D66" s="6" t="s">
        <v>802</v>
      </c>
      <c r="E66" s="6" t="s">
        <v>803</v>
      </c>
      <c r="F66" s="6" t="s">
        <v>207</v>
      </c>
      <c r="G66" s="7" t="s">
        <v>57</v>
      </c>
      <c r="H66" s="7" t="s">
        <v>195</v>
      </c>
      <c r="I66" s="7" t="s">
        <v>59</v>
      </c>
      <c r="J66" s="6" t="s">
        <v>804</v>
      </c>
      <c r="K66" s="6" t="s">
        <v>805</v>
      </c>
      <c r="L66" s="6" t="s">
        <v>806</v>
      </c>
      <c r="M66" s="6" t="s">
        <v>807</v>
      </c>
      <c r="N66" s="6" t="s">
        <v>808</v>
      </c>
      <c r="O66" s="6" t="s">
        <v>809</v>
      </c>
      <c r="P66" s="6" t="s">
        <v>810</v>
      </c>
      <c r="Q66" s="6" t="s">
        <v>811</v>
      </c>
      <c r="R66" s="6" t="s">
        <v>812</v>
      </c>
      <c r="S66" s="6"/>
      <c r="T66" s="7" t="s">
        <v>112</v>
      </c>
      <c r="U66" s="7" t="s">
        <v>70</v>
      </c>
      <c r="V66" s="8" t="s">
        <v>71</v>
      </c>
      <c r="W66" s="9"/>
      <c r="X66" s="9"/>
      <c r="Y66" s="9"/>
    </row>
    <row r="67" customFormat="false" ht="54" hidden="false" customHeight="true" outlineLevel="0" collapsed="false">
      <c r="A67" s="10" t="s">
        <v>813</v>
      </c>
      <c r="B67" s="11" t="s">
        <v>800</v>
      </c>
      <c r="C67" s="10" t="s">
        <v>814</v>
      </c>
      <c r="D67" s="11" t="s">
        <v>815</v>
      </c>
      <c r="E67" s="11" t="s">
        <v>803</v>
      </c>
      <c r="F67" s="11" t="s">
        <v>207</v>
      </c>
      <c r="G67" s="12" t="s">
        <v>128</v>
      </c>
      <c r="H67" s="12" t="s">
        <v>195</v>
      </c>
      <c r="I67" s="12" t="s">
        <v>59</v>
      </c>
      <c r="J67" s="11" t="s">
        <v>804</v>
      </c>
      <c r="K67" s="11" t="s">
        <v>816</v>
      </c>
      <c r="L67" s="11" t="s">
        <v>817</v>
      </c>
      <c r="M67" s="11" t="s">
        <v>818</v>
      </c>
      <c r="N67" s="11" t="s">
        <v>819</v>
      </c>
      <c r="O67" s="11" t="s">
        <v>820</v>
      </c>
      <c r="P67" s="11" t="s">
        <v>821</v>
      </c>
      <c r="Q67" s="11" t="s">
        <v>822</v>
      </c>
      <c r="R67" s="11" t="s">
        <v>823</v>
      </c>
      <c r="S67" s="11"/>
      <c r="T67" s="12" t="s">
        <v>112</v>
      </c>
      <c r="U67" s="12" t="s">
        <v>70</v>
      </c>
      <c r="V67" s="8" t="s">
        <v>71</v>
      </c>
      <c r="W67" s="9"/>
      <c r="X67" s="9"/>
      <c r="Y67" s="9"/>
    </row>
    <row r="68" customFormat="false" ht="129" hidden="false" customHeight="true" outlineLevel="0" collapsed="false">
      <c r="A68" s="5" t="s">
        <v>824</v>
      </c>
      <c r="B68" s="6" t="s">
        <v>800</v>
      </c>
      <c r="C68" s="5" t="s">
        <v>825</v>
      </c>
      <c r="D68" s="6" t="s">
        <v>826</v>
      </c>
      <c r="E68" s="6" t="s">
        <v>827</v>
      </c>
      <c r="F68" s="6"/>
      <c r="G68" s="7" t="s">
        <v>128</v>
      </c>
      <c r="H68" s="7" t="s">
        <v>828</v>
      </c>
      <c r="I68" s="7" t="s">
        <v>59</v>
      </c>
      <c r="J68" s="6" t="s">
        <v>829</v>
      </c>
      <c r="K68" s="6" t="s">
        <v>830</v>
      </c>
      <c r="L68" s="6" t="s">
        <v>173</v>
      </c>
      <c r="M68" s="6" t="s">
        <v>831</v>
      </c>
      <c r="N68" s="6" t="s">
        <v>832</v>
      </c>
      <c r="O68" s="6" t="s">
        <v>833</v>
      </c>
      <c r="P68" s="6" t="s">
        <v>834</v>
      </c>
      <c r="Q68" s="6" t="s">
        <v>835</v>
      </c>
      <c r="R68" s="6" t="s">
        <v>836</v>
      </c>
      <c r="S68" s="6"/>
      <c r="T68" s="7" t="s">
        <v>411</v>
      </c>
      <c r="U68" s="7" t="s">
        <v>70</v>
      </c>
      <c r="V68" s="8" t="s">
        <v>71</v>
      </c>
      <c r="W68" s="9"/>
      <c r="X68" s="9"/>
      <c r="Y68" s="9"/>
    </row>
    <row r="69" customFormat="false" ht="41.25" hidden="false" customHeight="true" outlineLevel="0" collapsed="false">
      <c r="A69" s="10" t="s">
        <v>837</v>
      </c>
      <c r="B69" s="11" t="s">
        <v>800</v>
      </c>
      <c r="C69" s="10" t="s">
        <v>838</v>
      </c>
      <c r="D69" s="11" t="s">
        <v>839</v>
      </c>
      <c r="E69" s="11" t="s">
        <v>840</v>
      </c>
      <c r="F69" s="11"/>
      <c r="G69" s="12" t="s">
        <v>128</v>
      </c>
      <c r="H69" s="12" t="s">
        <v>88</v>
      </c>
      <c r="I69" s="12" t="s">
        <v>103</v>
      </c>
      <c r="J69" s="11" t="s">
        <v>841</v>
      </c>
      <c r="K69" s="11" t="s">
        <v>842</v>
      </c>
      <c r="L69" s="11" t="s">
        <v>843</v>
      </c>
      <c r="M69" s="11" t="s">
        <v>844</v>
      </c>
      <c r="N69" s="11" t="s">
        <v>845</v>
      </c>
      <c r="O69" s="11" t="s">
        <v>846</v>
      </c>
      <c r="P69" s="11" t="s">
        <v>847</v>
      </c>
      <c r="Q69" s="11" t="s">
        <v>848</v>
      </c>
      <c r="R69" s="11" t="s">
        <v>849</v>
      </c>
      <c r="S69" s="11" t="s">
        <v>225</v>
      </c>
      <c r="T69" s="12" t="s">
        <v>326</v>
      </c>
      <c r="U69" s="12" t="s">
        <v>152</v>
      </c>
      <c r="V69" s="8" t="s">
        <v>71</v>
      </c>
      <c r="W69" s="9"/>
      <c r="X69" s="9"/>
      <c r="Y69" s="9"/>
    </row>
    <row r="70" customFormat="false" ht="54" hidden="false" customHeight="true" outlineLevel="0" collapsed="false">
      <c r="A70" s="5" t="s">
        <v>850</v>
      </c>
      <c r="B70" s="6" t="s">
        <v>800</v>
      </c>
      <c r="C70" s="5" t="s">
        <v>851</v>
      </c>
      <c r="D70" s="6" t="s">
        <v>852</v>
      </c>
      <c r="E70" s="6" t="s">
        <v>853</v>
      </c>
      <c r="F70" s="6"/>
      <c r="G70" s="7" t="s">
        <v>57</v>
      </c>
      <c r="H70" s="7" t="s">
        <v>195</v>
      </c>
      <c r="I70" s="7" t="s">
        <v>89</v>
      </c>
      <c r="J70" s="6" t="s">
        <v>854</v>
      </c>
      <c r="K70" s="6" t="s">
        <v>855</v>
      </c>
      <c r="L70" s="6" t="s">
        <v>856</v>
      </c>
      <c r="M70" s="6" t="s">
        <v>857</v>
      </c>
      <c r="N70" s="6" t="s">
        <v>858</v>
      </c>
      <c r="O70" s="6" t="s">
        <v>859</v>
      </c>
      <c r="P70" s="6" t="s">
        <v>860</v>
      </c>
      <c r="Q70" s="6" t="s">
        <v>861</v>
      </c>
      <c r="R70" s="6" t="s">
        <v>862</v>
      </c>
      <c r="S70" s="6"/>
      <c r="T70" s="7" t="s">
        <v>112</v>
      </c>
      <c r="U70" s="7" t="s">
        <v>70</v>
      </c>
      <c r="V70" s="8" t="s">
        <v>71</v>
      </c>
      <c r="W70" s="9"/>
      <c r="X70" s="9"/>
      <c r="Y70" s="9"/>
    </row>
    <row r="71" customFormat="false" ht="66" hidden="false" customHeight="true" outlineLevel="0" collapsed="false">
      <c r="A71" s="10" t="s">
        <v>863</v>
      </c>
      <c r="B71" s="11" t="s">
        <v>800</v>
      </c>
      <c r="C71" s="10" t="s">
        <v>864</v>
      </c>
      <c r="D71" s="11" t="s">
        <v>865</v>
      </c>
      <c r="E71" s="11" t="s">
        <v>866</v>
      </c>
      <c r="F71" s="11" t="s">
        <v>231</v>
      </c>
      <c r="G71" s="12" t="s">
        <v>128</v>
      </c>
      <c r="H71" s="12" t="s">
        <v>232</v>
      </c>
      <c r="I71" s="12" t="s">
        <v>59</v>
      </c>
      <c r="J71" s="11" t="s">
        <v>233</v>
      </c>
      <c r="K71" s="11" t="s">
        <v>867</v>
      </c>
      <c r="L71" s="11" t="s">
        <v>868</v>
      </c>
      <c r="M71" s="11" t="s">
        <v>857</v>
      </c>
      <c r="N71" s="11" t="s">
        <v>869</v>
      </c>
      <c r="O71" s="11" t="s">
        <v>870</v>
      </c>
      <c r="P71" s="11" t="s">
        <v>871</v>
      </c>
      <c r="Q71" s="11" t="s">
        <v>177</v>
      </c>
      <c r="R71" s="11" t="s">
        <v>872</v>
      </c>
      <c r="S71" s="11"/>
      <c r="T71" s="12" t="s">
        <v>112</v>
      </c>
      <c r="U71" s="12" t="s">
        <v>70</v>
      </c>
      <c r="V71" s="8" t="s">
        <v>71</v>
      </c>
      <c r="W71" s="9"/>
      <c r="X71" s="9"/>
      <c r="Y71" s="9"/>
    </row>
    <row r="72" customFormat="false" ht="66" hidden="false" customHeight="true" outlineLevel="0" collapsed="false">
      <c r="A72" s="5" t="s">
        <v>873</v>
      </c>
      <c r="B72" s="6" t="s">
        <v>800</v>
      </c>
      <c r="C72" s="5" t="s">
        <v>874</v>
      </c>
      <c r="D72" s="6" t="s">
        <v>875</v>
      </c>
      <c r="E72" s="6" t="s">
        <v>230</v>
      </c>
      <c r="F72" s="6" t="s">
        <v>231</v>
      </c>
      <c r="G72" s="7" t="s">
        <v>128</v>
      </c>
      <c r="H72" s="7" t="s">
        <v>232</v>
      </c>
      <c r="I72" s="7" t="s">
        <v>59</v>
      </c>
      <c r="J72" s="6" t="s">
        <v>233</v>
      </c>
      <c r="K72" s="6" t="s">
        <v>867</v>
      </c>
      <c r="L72" s="6" t="s">
        <v>876</v>
      </c>
      <c r="M72" s="6" t="s">
        <v>877</v>
      </c>
      <c r="N72" s="6" t="s">
        <v>878</v>
      </c>
      <c r="O72" s="6" t="s">
        <v>879</v>
      </c>
      <c r="P72" s="6" t="s">
        <v>880</v>
      </c>
      <c r="Q72" s="6" t="s">
        <v>848</v>
      </c>
      <c r="R72" s="6" t="s">
        <v>881</v>
      </c>
      <c r="S72" s="6"/>
      <c r="T72" s="7" t="s">
        <v>112</v>
      </c>
      <c r="U72" s="7" t="s">
        <v>70</v>
      </c>
      <c r="V72" s="8" t="s">
        <v>71</v>
      </c>
      <c r="W72" s="9"/>
      <c r="X72" s="9"/>
      <c r="Y72" s="9"/>
    </row>
    <row r="73" customFormat="false" ht="54" hidden="false" customHeight="true" outlineLevel="0" collapsed="false">
      <c r="A73" s="10" t="s">
        <v>882</v>
      </c>
      <c r="B73" s="11" t="s">
        <v>883</v>
      </c>
      <c r="C73" s="10" t="s">
        <v>884</v>
      </c>
      <c r="D73" s="11" t="s">
        <v>885</v>
      </c>
      <c r="E73" s="11" t="s">
        <v>886</v>
      </c>
      <c r="F73" s="11"/>
      <c r="G73" s="12" t="s">
        <v>887</v>
      </c>
      <c r="H73" s="12" t="s">
        <v>58</v>
      </c>
      <c r="I73" s="12" t="s">
        <v>59</v>
      </c>
      <c r="J73" s="11" t="s">
        <v>465</v>
      </c>
      <c r="K73" s="11" t="s">
        <v>888</v>
      </c>
      <c r="L73" s="11" t="s">
        <v>889</v>
      </c>
      <c r="M73" s="11" t="s">
        <v>890</v>
      </c>
      <c r="N73" s="11" t="s">
        <v>891</v>
      </c>
      <c r="O73" s="11" t="s">
        <v>892</v>
      </c>
      <c r="P73" s="11" t="s">
        <v>893</v>
      </c>
      <c r="Q73" s="11" t="s">
        <v>894</v>
      </c>
      <c r="R73" s="11" t="s">
        <v>895</v>
      </c>
      <c r="S73" s="11"/>
      <c r="T73" s="12" t="s">
        <v>112</v>
      </c>
      <c r="U73" s="12" t="s">
        <v>70</v>
      </c>
      <c r="V73" s="8" t="s">
        <v>71</v>
      </c>
      <c r="W73" s="9"/>
      <c r="X73" s="9"/>
      <c r="Y73" s="9"/>
    </row>
    <row r="74" customFormat="false" ht="66" hidden="false" customHeight="true" outlineLevel="0" collapsed="false">
      <c r="A74" s="5" t="s">
        <v>896</v>
      </c>
      <c r="B74" s="6" t="s">
        <v>883</v>
      </c>
      <c r="C74" s="5" t="s">
        <v>897</v>
      </c>
      <c r="D74" s="6" t="s">
        <v>898</v>
      </c>
      <c r="E74" s="6" t="s">
        <v>899</v>
      </c>
      <c r="F74" s="6"/>
      <c r="G74" s="7" t="s">
        <v>887</v>
      </c>
      <c r="H74" s="7" t="s">
        <v>58</v>
      </c>
      <c r="I74" s="7" t="s">
        <v>59</v>
      </c>
      <c r="J74" s="6" t="s">
        <v>116</v>
      </c>
      <c r="K74" s="6" t="s">
        <v>888</v>
      </c>
      <c r="L74" s="6" t="s">
        <v>900</v>
      </c>
      <c r="M74" s="6" t="s">
        <v>901</v>
      </c>
      <c r="N74" s="6" t="s">
        <v>902</v>
      </c>
      <c r="O74" s="6" t="s">
        <v>903</v>
      </c>
      <c r="P74" s="6" t="s">
        <v>904</v>
      </c>
      <c r="Q74" s="6" t="s">
        <v>894</v>
      </c>
      <c r="R74" s="6" t="s">
        <v>905</v>
      </c>
      <c r="S74" s="6"/>
      <c r="T74" s="7" t="s">
        <v>112</v>
      </c>
      <c r="U74" s="7" t="s">
        <v>70</v>
      </c>
      <c r="V74" s="8" t="s">
        <v>71</v>
      </c>
      <c r="W74" s="9"/>
      <c r="X74" s="9"/>
      <c r="Y74" s="9"/>
    </row>
    <row r="75" customFormat="false" ht="116.25" hidden="false" customHeight="true" outlineLevel="0" collapsed="false">
      <c r="A75" s="10" t="s">
        <v>906</v>
      </c>
      <c r="B75" s="11" t="s">
        <v>883</v>
      </c>
      <c r="C75" s="10" t="s">
        <v>907</v>
      </c>
      <c r="D75" s="11" t="s">
        <v>908</v>
      </c>
      <c r="E75" s="11" t="s">
        <v>909</v>
      </c>
      <c r="F75" s="11" t="s">
        <v>910</v>
      </c>
      <c r="G75" s="12" t="s">
        <v>887</v>
      </c>
      <c r="H75" s="12" t="s">
        <v>88</v>
      </c>
      <c r="I75" s="12" t="s">
        <v>59</v>
      </c>
      <c r="J75" s="11" t="s">
        <v>271</v>
      </c>
      <c r="K75" s="11" t="s">
        <v>911</v>
      </c>
      <c r="L75" s="11" t="s">
        <v>912</v>
      </c>
      <c r="M75" s="11" t="s">
        <v>913</v>
      </c>
      <c r="N75" s="11" t="s">
        <v>914</v>
      </c>
      <c r="O75" s="11" t="s">
        <v>915</v>
      </c>
      <c r="P75" s="11" t="s">
        <v>916</v>
      </c>
      <c r="Q75" s="11" t="s">
        <v>894</v>
      </c>
      <c r="R75" s="11" t="s">
        <v>917</v>
      </c>
      <c r="S75" s="11" t="s">
        <v>918</v>
      </c>
      <c r="T75" s="12" t="s">
        <v>226</v>
      </c>
      <c r="U75" s="12" t="s">
        <v>152</v>
      </c>
      <c r="V75" s="8" t="s">
        <v>71</v>
      </c>
      <c r="W75" s="9"/>
      <c r="X75" s="9"/>
      <c r="Y75" s="9"/>
    </row>
    <row r="76" customFormat="false" ht="66" hidden="false" customHeight="true" outlineLevel="0" collapsed="false">
      <c r="A76" s="5" t="s">
        <v>919</v>
      </c>
      <c r="B76" s="6" t="s">
        <v>883</v>
      </c>
      <c r="C76" s="5" t="s">
        <v>920</v>
      </c>
      <c r="D76" s="6" t="s">
        <v>921</v>
      </c>
      <c r="E76" s="6" t="s">
        <v>922</v>
      </c>
      <c r="F76" s="6" t="s">
        <v>923</v>
      </c>
      <c r="G76" s="7" t="s">
        <v>887</v>
      </c>
      <c r="H76" s="7" t="s">
        <v>88</v>
      </c>
      <c r="I76" s="7" t="s">
        <v>59</v>
      </c>
      <c r="J76" s="6" t="s">
        <v>643</v>
      </c>
      <c r="K76" s="6" t="s">
        <v>924</v>
      </c>
      <c r="L76" s="6" t="s">
        <v>925</v>
      </c>
      <c r="M76" s="6" t="s">
        <v>926</v>
      </c>
      <c r="N76" s="6" t="s">
        <v>927</v>
      </c>
      <c r="O76" s="6" t="s">
        <v>928</v>
      </c>
      <c r="P76" s="6" t="s">
        <v>929</v>
      </c>
      <c r="Q76" s="6" t="s">
        <v>894</v>
      </c>
      <c r="R76" s="6" t="s">
        <v>930</v>
      </c>
      <c r="S76" s="6" t="s">
        <v>918</v>
      </c>
      <c r="T76" s="7" t="s">
        <v>112</v>
      </c>
      <c r="U76" s="7" t="s">
        <v>152</v>
      </c>
      <c r="V76" s="8" t="s">
        <v>71</v>
      </c>
      <c r="W76" s="9"/>
      <c r="X76" s="9"/>
      <c r="Y76" s="9"/>
    </row>
    <row r="77" customFormat="false" ht="66" hidden="false" customHeight="true" outlineLevel="0" collapsed="false">
      <c r="A77" s="10" t="s">
        <v>931</v>
      </c>
      <c r="B77" s="11" t="s">
        <v>883</v>
      </c>
      <c r="C77" s="10" t="s">
        <v>932</v>
      </c>
      <c r="D77" s="11" t="s">
        <v>933</v>
      </c>
      <c r="E77" s="11" t="s">
        <v>934</v>
      </c>
      <c r="F77" s="11" t="s">
        <v>935</v>
      </c>
      <c r="G77" s="12" t="s">
        <v>887</v>
      </c>
      <c r="H77" s="12" t="s">
        <v>88</v>
      </c>
      <c r="I77" s="12" t="s">
        <v>59</v>
      </c>
      <c r="J77" s="11" t="s">
        <v>790</v>
      </c>
      <c r="K77" s="11" t="s">
        <v>936</v>
      </c>
      <c r="L77" s="11" t="s">
        <v>937</v>
      </c>
      <c r="M77" s="11" t="s">
        <v>938</v>
      </c>
      <c r="N77" s="11" t="s">
        <v>939</v>
      </c>
      <c r="O77" s="11" t="s">
        <v>940</v>
      </c>
      <c r="P77" s="11" t="s">
        <v>941</v>
      </c>
      <c r="Q77" s="11" t="s">
        <v>894</v>
      </c>
      <c r="R77" s="11" t="s">
        <v>942</v>
      </c>
      <c r="S77" s="11"/>
      <c r="T77" s="12" t="s">
        <v>112</v>
      </c>
      <c r="U77" s="12" t="s">
        <v>70</v>
      </c>
      <c r="V77" s="8" t="s">
        <v>71</v>
      </c>
      <c r="W77" s="9"/>
      <c r="X77" s="9"/>
      <c r="Y77" s="9"/>
    </row>
    <row r="78" customFormat="false" ht="54" hidden="false" customHeight="true" outlineLevel="0" collapsed="false">
      <c r="A78" s="5" t="s">
        <v>943</v>
      </c>
      <c r="B78" s="6" t="s">
        <v>883</v>
      </c>
      <c r="C78" s="5" t="s">
        <v>944</v>
      </c>
      <c r="D78" s="6" t="s">
        <v>945</v>
      </c>
      <c r="E78" s="6" t="s">
        <v>230</v>
      </c>
      <c r="F78" s="6" t="s">
        <v>231</v>
      </c>
      <c r="G78" s="7" t="s">
        <v>128</v>
      </c>
      <c r="H78" s="7" t="s">
        <v>232</v>
      </c>
      <c r="I78" s="7" t="s">
        <v>59</v>
      </c>
      <c r="J78" s="6" t="s">
        <v>233</v>
      </c>
      <c r="K78" s="6" t="s">
        <v>946</v>
      </c>
      <c r="L78" s="6" t="s">
        <v>947</v>
      </c>
      <c r="M78" s="6" t="s">
        <v>106</v>
      </c>
      <c r="N78" s="6" t="s">
        <v>948</v>
      </c>
      <c r="O78" s="6" t="s">
        <v>949</v>
      </c>
      <c r="P78" s="6" t="s">
        <v>950</v>
      </c>
      <c r="Q78" s="6" t="s">
        <v>951</v>
      </c>
      <c r="R78" s="6" t="s">
        <v>952</v>
      </c>
      <c r="S78" s="6"/>
      <c r="T78" s="7" t="s">
        <v>112</v>
      </c>
      <c r="U78" s="7" t="s">
        <v>70</v>
      </c>
      <c r="V78" s="8" t="s">
        <v>71</v>
      </c>
      <c r="W78" s="9"/>
      <c r="X78" s="9"/>
      <c r="Y78" s="9"/>
    </row>
    <row r="79" customFormat="false" ht="54" hidden="false" customHeight="true" outlineLevel="0" collapsed="false">
      <c r="A79" s="10" t="s">
        <v>953</v>
      </c>
      <c r="B79" s="11" t="s">
        <v>883</v>
      </c>
      <c r="C79" s="10" t="s">
        <v>954</v>
      </c>
      <c r="D79" s="11" t="s">
        <v>955</v>
      </c>
      <c r="E79" s="11" t="s">
        <v>956</v>
      </c>
      <c r="F79" s="11"/>
      <c r="G79" s="12" t="s">
        <v>128</v>
      </c>
      <c r="H79" s="12" t="s">
        <v>232</v>
      </c>
      <c r="I79" s="12" t="s">
        <v>89</v>
      </c>
      <c r="J79" s="11" t="s">
        <v>957</v>
      </c>
      <c r="K79" s="11" t="s">
        <v>958</v>
      </c>
      <c r="L79" s="11" t="s">
        <v>959</v>
      </c>
      <c r="M79" s="11" t="s">
        <v>960</v>
      </c>
      <c r="N79" s="11" t="s">
        <v>961</v>
      </c>
      <c r="O79" s="11" t="s">
        <v>962</v>
      </c>
      <c r="P79" s="11" t="s">
        <v>963</v>
      </c>
      <c r="Q79" s="11" t="s">
        <v>964</v>
      </c>
      <c r="R79" s="11" t="s">
        <v>965</v>
      </c>
      <c r="S79" s="11"/>
      <c r="T79" s="12" t="s">
        <v>112</v>
      </c>
      <c r="U79" s="12" t="s">
        <v>70</v>
      </c>
      <c r="V79" s="8" t="s">
        <v>71</v>
      </c>
      <c r="W79" s="9"/>
      <c r="X79" s="9"/>
      <c r="Y79" s="9"/>
    </row>
    <row r="80" customFormat="false" ht="66" hidden="false" customHeight="true" outlineLevel="0" collapsed="false">
      <c r="A80" s="5" t="s">
        <v>966</v>
      </c>
      <c r="B80" s="6" t="s">
        <v>883</v>
      </c>
      <c r="C80" s="5" t="s">
        <v>967</v>
      </c>
      <c r="D80" s="6" t="s">
        <v>968</v>
      </c>
      <c r="E80" s="6" t="s">
        <v>182</v>
      </c>
      <c r="F80" s="6"/>
      <c r="G80" s="7" t="s">
        <v>887</v>
      </c>
      <c r="H80" s="7" t="s">
        <v>102</v>
      </c>
      <c r="I80" s="7" t="s">
        <v>103</v>
      </c>
      <c r="J80" s="6" t="s">
        <v>183</v>
      </c>
      <c r="K80" s="6" t="s">
        <v>958</v>
      </c>
      <c r="L80" s="6" t="s">
        <v>969</v>
      </c>
      <c r="M80" s="6" t="s">
        <v>970</v>
      </c>
      <c r="N80" s="6" t="s">
        <v>971</v>
      </c>
      <c r="O80" s="6" t="s">
        <v>972</v>
      </c>
      <c r="P80" s="6" t="s">
        <v>973</v>
      </c>
      <c r="Q80" s="6" t="s">
        <v>894</v>
      </c>
      <c r="R80" s="6" t="s">
        <v>974</v>
      </c>
      <c r="S80" s="6"/>
      <c r="T80" s="7" t="s">
        <v>97</v>
      </c>
      <c r="U80" s="7" t="s">
        <v>70</v>
      </c>
      <c r="V80" s="8" t="s">
        <v>71</v>
      </c>
      <c r="W80" s="9"/>
      <c r="X80" s="9"/>
      <c r="Y80" s="9"/>
    </row>
    <row r="81" customFormat="false" ht="91.5" hidden="false" customHeight="true" outlineLevel="0" collapsed="false">
      <c r="A81" s="10" t="s">
        <v>975</v>
      </c>
      <c r="B81" s="11" t="s">
        <v>883</v>
      </c>
      <c r="C81" s="10" t="s">
        <v>976</v>
      </c>
      <c r="D81" s="11" t="s">
        <v>977</v>
      </c>
      <c r="E81" s="11" t="s">
        <v>978</v>
      </c>
      <c r="F81" s="11"/>
      <c r="G81" s="12" t="s">
        <v>887</v>
      </c>
      <c r="H81" s="12" t="s">
        <v>88</v>
      </c>
      <c r="I81" s="12" t="s">
        <v>103</v>
      </c>
      <c r="J81" s="11" t="s">
        <v>979</v>
      </c>
      <c r="K81" s="11" t="s">
        <v>958</v>
      </c>
      <c r="L81" s="11" t="s">
        <v>980</v>
      </c>
      <c r="M81" s="11" t="s">
        <v>981</v>
      </c>
      <c r="N81" s="11" t="s">
        <v>982</v>
      </c>
      <c r="O81" s="11" t="s">
        <v>983</v>
      </c>
      <c r="P81" s="11" t="s">
        <v>984</v>
      </c>
      <c r="Q81" s="11" t="s">
        <v>985</v>
      </c>
      <c r="R81" s="11" t="s">
        <v>986</v>
      </c>
      <c r="S81" s="11"/>
      <c r="T81" s="12" t="s">
        <v>112</v>
      </c>
      <c r="U81" s="12" t="s">
        <v>70</v>
      </c>
      <c r="V81" s="8" t="s">
        <v>71</v>
      </c>
      <c r="W81" s="9"/>
      <c r="X81" s="9"/>
      <c r="Y81" s="9"/>
    </row>
    <row r="82" customFormat="false" ht="78.75" hidden="false" customHeight="true" outlineLevel="0" collapsed="false">
      <c r="A82" s="5" t="s">
        <v>987</v>
      </c>
      <c r="B82" s="6" t="s">
        <v>883</v>
      </c>
      <c r="C82" s="5" t="s">
        <v>988</v>
      </c>
      <c r="D82" s="6" t="s">
        <v>989</v>
      </c>
      <c r="E82" s="6" t="s">
        <v>990</v>
      </c>
      <c r="F82" s="6" t="s">
        <v>991</v>
      </c>
      <c r="G82" s="7" t="s">
        <v>887</v>
      </c>
      <c r="H82" s="7" t="s">
        <v>195</v>
      </c>
      <c r="I82" s="7" t="s">
        <v>59</v>
      </c>
      <c r="J82" s="6" t="s">
        <v>992</v>
      </c>
      <c r="K82" s="6" t="s">
        <v>993</v>
      </c>
      <c r="L82" s="6" t="s">
        <v>994</v>
      </c>
      <c r="M82" s="6" t="s">
        <v>995</v>
      </c>
      <c r="N82" s="6" t="s">
        <v>996</v>
      </c>
      <c r="O82" s="6" t="s">
        <v>997</v>
      </c>
      <c r="P82" s="6" t="s">
        <v>998</v>
      </c>
      <c r="Q82" s="6" t="s">
        <v>894</v>
      </c>
      <c r="R82" s="6" t="s">
        <v>986</v>
      </c>
      <c r="S82" s="6"/>
      <c r="T82" s="7" t="s">
        <v>69</v>
      </c>
      <c r="U82" s="7" t="s">
        <v>70</v>
      </c>
      <c r="V82" s="8" t="s">
        <v>71</v>
      </c>
      <c r="W82" s="9"/>
      <c r="X82" s="9"/>
      <c r="Y82" s="9"/>
    </row>
  </sheetData>
  <autoFilter ref="A1:Y82"/>
  <conditionalFormatting sqref="I2:I82">
    <cfRule type="cellIs" priority="2" operator="equal" aboveAverage="0" equalAverage="0" bottom="0" percent="0" rank="0" text="" dxfId="9">
      <formula>"P1"</formula>
    </cfRule>
    <cfRule type="cellIs" priority="3" operator="equal" aboveAverage="0" equalAverage="0" bottom="0" percent="0" rank="0" text="" dxfId="10">
      <formula>"P2"</formula>
    </cfRule>
    <cfRule type="cellIs" priority="4" operator="equal" aboveAverage="0" equalAverage="0" bottom="0" percent="0" rank="0" text="" dxfId="11">
      <formula>"P3"</formula>
    </cfRule>
  </conditionalFormatting>
  <conditionalFormatting sqref="V2:V82">
    <cfRule type="cellIs" priority="5" operator="equal" aboveAverage="0" equalAverage="0" bottom="0" percent="0" rank="0" text="" dxfId="12">
      <formula>"Pass"</formula>
    </cfRule>
    <cfRule type="cellIs" priority="6" operator="equal" aboveAverage="0" equalAverage="0" bottom="0" percent="0" rank="0" text="" dxfId="13">
      <formula>"Fail"</formula>
    </cfRule>
    <cfRule type="cellIs" priority="7" operator="equal" aboveAverage="0" equalAverage="0" bottom="0" percent="0" rank="0" text="" dxfId="14">
      <formula>"Blocked"</formula>
    </cfRule>
  </conditionalFormatting>
  <conditionalFormatting sqref="U2:U82">
    <cfRule type="cellIs" priority="8" operator="equal" aboveAverage="0" equalAverage="0" bottom="0" percent="0" rank="0" text="" dxfId="14">
      <formula>"Needs confirmation"</formula>
    </cfRule>
  </conditionalFormatting>
  <dataValidations count="4">
    <dataValidation allowBlank="true" errorStyle="stop" operator="between" showDropDown="false" showErrorMessage="false" showInputMessage="false" sqref="V2:V82" type="list">
      <formula1>"Not run,Pass,Fail,Blocked,Skipped"</formula1>
      <formula2>0</formula2>
    </dataValidation>
    <dataValidation allowBlank="true" errorStyle="stop" operator="between" showDropDown="false" showErrorMessage="false" showInputMessage="false" sqref="U2:U82" type="list">
      <formula1>"Ready,Needs confirmation,Automated,Manual only"</formula1>
      <formula2>0</formula2>
    </dataValidation>
    <dataValidation allowBlank="true" errorStyle="stop" operator="between" showDropDown="false" showErrorMessage="false" showInputMessage="false" sqref="I2:I82" type="list">
      <formula1>"P1,P2,P3"</formula1>
      <formula2>0</formula2>
    </dataValidation>
    <dataValidation allowBlank="true" errorStyle="stop" operator="between" showDropDown="false" showErrorMessage="false" showInputMessage="false" sqref="X2:X82" type="list">
      <formula1>"Expected seeded (candidate),Unexpected,Automation issue,Environment/data,n/a"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78"/>
    <col collapsed="false" customWidth="true" hidden="false" outlineLevel="0" max="4" min="4" style="0" width="30"/>
    <col collapsed="false" customWidth="true" hidden="false" outlineLevel="0" max="5" min="5" style="0" width="26"/>
  </cols>
  <sheetData>
    <row r="1" customFormat="false" ht="30" hidden="false" customHeight="true" outlineLevel="0" collapsed="false">
      <c r="A1" s="4" t="s">
        <v>999</v>
      </c>
      <c r="B1" s="4" t="s">
        <v>1000</v>
      </c>
      <c r="C1" s="4" t="s">
        <v>1001</v>
      </c>
      <c r="D1" s="4" t="s">
        <v>1002</v>
      </c>
      <c r="E1" s="4" t="s">
        <v>1003</v>
      </c>
    </row>
    <row r="2" customFormat="false" ht="28.5" hidden="false" customHeight="true" outlineLevel="0" collapsed="false">
      <c r="A2" s="5" t="s">
        <v>1004</v>
      </c>
      <c r="B2" s="6" t="s">
        <v>106</v>
      </c>
      <c r="C2" s="6" t="s">
        <v>1005</v>
      </c>
      <c r="D2" s="6" t="s">
        <v>1006</v>
      </c>
      <c r="E2" s="6" t="s">
        <v>1007</v>
      </c>
    </row>
    <row r="3" customFormat="false" ht="28.5" hidden="false" customHeight="true" outlineLevel="0" collapsed="false">
      <c r="A3" s="10" t="s">
        <v>1008</v>
      </c>
      <c r="B3" s="11" t="s">
        <v>1009</v>
      </c>
      <c r="C3" s="11" t="s">
        <v>1010</v>
      </c>
      <c r="D3" s="11" t="s">
        <v>1011</v>
      </c>
      <c r="E3" s="11" t="s">
        <v>1007</v>
      </c>
    </row>
    <row r="4" customFormat="false" ht="16.5" hidden="false" customHeight="true" outlineLevel="0" collapsed="false">
      <c r="A4" s="5" t="s">
        <v>1012</v>
      </c>
      <c r="B4" s="6" t="s">
        <v>1013</v>
      </c>
      <c r="C4" s="6" t="s">
        <v>1014</v>
      </c>
      <c r="D4" s="6" t="s">
        <v>193</v>
      </c>
      <c r="E4" s="6" t="s">
        <v>1007</v>
      </c>
    </row>
    <row r="5" customFormat="false" ht="28.5" hidden="false" customHeight="true" outlineLevel="0" collapsed="false">
      <c r="A5" s="10" t="s">
        <v>1015</v>
      </c>
      <c r="B5" s="11" t="s">
        <v>1016</v>
      </c>
      <c r="C5" s="11" t="s">
        <v>1017</v>
      </c>
      <c r="D5" s="11" t="s">
        <v>1018</v>
      </c>
      <c r="E5" s="11" t="s">
        <v>1019</v>
      </c>
    </row>
    <row r="6" customFormat="false" ht="16.5" hidden="false" customHeight="true" outlineLevel="0" collapsed="false">
      <c r="A6" s="5" t="s">
        <v>1020</v>
      </c>
      <c r="B6" s="6" t="s">
        <v>1021</v>
      </c>
      <c r="C6" s="6" t="s">
        <v>1022</v>
      </c>
      <c r="D6" s="6" t="s">
        <v>1023</v>
      </c>
      <c r="E6" s="6" t="s">
        <v>1024</v>
      </c>
    </row>
    <row r="7" customFormat="false" ht="28.5" hidden="false" customHeight="true" outlineLevel="0" collapsed="false">
      <c r="A7" s="10" t="s">
        <v>1025</v>
      </c>
      <c r="B7" s="11" t="s">
        <v>1026</v>
      </c>
      <c r="C7" s="11" t="s">
        <v>1027</v>
      </c>
      <c r="D7" s="11" t="s">
        <v>1028</v>
      </c>
      <c r="E7" s="11" t="s">
        <v>1029</v>
      </c>
    </row>
    <row r="8" customFormat="false" ht="41.25" hidden="false" customHeight="true" outlineLevel="0" collapsed="false">
      <c r="A8" s="5" t="s">
        <v>1030</v>
      </c>
      <c r="B8" s="6" t="s">
        <v>1031</v>
      </c>
      <c r="C8" s="6" t="s">
        <v>1032</v>
      </c>
      <c r="D8" s="6" t="s">
        <v>1033</v>
      </c>
      <c r="E8" s="6" t="s">
        <v>1034</v>
      </c>
    </row>
    <row r="9" customFormat="false" ht="41.25" hidden="false" customHeight="true" outlineLevel="0" collapsed="false">
      <c r="A9" s="10" t="s">
        <v>1035</v>
      </c>
      <c r="B9" s="11" t="s">
        <v>1036</v>
      </c>
      <c r="C9" s="11" t="s">
        <v>1037</v>
      </c>
      <c r="D9" s="11" t="s">
        <v>1038</v>
      </c>
      <c r="E9" s="11" t="s">
        <v>1036</v>
      </c>
    </row>
    <row r="10" customFormat="false" ht="16.5" hidden="false" customHeight="true" outlineLevel="0" collapsed="false">
      <c r="A10" s="5" t="s">
        <v>1039</v>
      </c>
      <c r="B10" s="6" t="s">
        <v>1040</v>
      </c>
      <c r="C10" s="6" t="s">
        <v>1041</v>
      </c>
      <c r="D10" s="6" t="s">
        <v>1042</v>
      </c>
      <c r="E10" s="6" t="s">
        <v>70</v>
      </c>
    </row>
    <row r="11" customFormat="false" ht="16.5" hidden="false" customHeight="true" outlineLevel="0" collapsed="false">
      <c r="A11" s="10" t="s">
        <v>1043</v>
      </c>
      <c r="B11" s="11" t="s">
        <v>1044</v>
      </c>
      <c r="C11" s="11" t="s">
        <v>1045</v>
      </c>
      <c r="D11" s="11" t="s">
        <v>299</v>
      </c>
      <c r="E11" s="11" t="s">
        <v>1046</v>
      </c>
    </row>
    <row r="12" customFormat="false" ht="16.5" hidden="false" customHeight="true" outlineLevel="0" collapsed="false">
      <c r="A12" s="5" t="s">
        <v>1047</v>
      </c>
      <c r="B12" s="6" t="s">
        <v>1048</v>
      </c>
      <c r="C12" s="6" t="s">
        <v>1049</v>
      </c>
      <c r="D12" s="6" t="s">
        <v>1050</v>
      </c>
      <c r="E12" s="6" t="s">
        <v>70</v>
      </c>
    </row>
    <row r="13" customFormat="false" ht="16.5" hidden="false" customHeight="true" outlineLevel="0" collapsed="false">
      <c r="A13" s="10" t="s">
        <v>1051</v>
      </c>
      <c r="B13" s="11" t="s">
        <v>1052</v>
      </c>
      <c r="C13" s="11" t="s">
        <v>1053</v>
      </c>
      <c r="D13" s="11" t="s">
        <v>299</v>
      </c>
      <c r="E13" s="11" t="s">
        <v>1046</v>
      </c>
    </row>
    <row r="14" customFormat="false" ht="16.5" hidden="false" customHeight="true" outlineLevel="0" collapsed="false">
      <c r="A14" s="5" t="s">
        <v>1054</v>
      </c>
      <c r="B14" s="6" t="s">
        <v>1055</v>
      </c>
      <c r="C14" s="6" t="s">
        <v>1056</v>
      </c>
      <c r="D14" s="6" t="s">
        <v>1057</v>
      </c>
      <c r="E14" s="6" t="s">
        <v>70</v>
      </c>
    </row>
    <row r="15" customFormat="false" ht="16.5" hidden="false" customHeight="true" outlineLevel="0" collapsed="false">
      <c r="A15" s="10" t="s">
        <v>1058</v>
      </c>
      <c r="B15" s="11" t="s">
        <v>1059</v>
      </c>
      <c r="C15" s="11" t="s">
        <v>1060</v>
      </c>
      <c r="D15" s="11" t="s">
        <v>1061</v>
      </c>
      <c r="E15" s="11" t="s">
        <v>70</v>
      </c>
    </row>
    <row r="16" customFormat="false" ht="16.5" hidden="false" customHeight="true" outlineLevel="0" collapsed="false">
      <c r="A16" s="5" t="s">
        <v>1062</v>
      </c>
      <c r="B16" s="6" t="s">
        <v>1063</v>
      </c>
      <c r="C16" s="6" t="s">
        <v>1064</v>
      </c>
      <c r="D16" s="6" t="s">
        <v>308</v>
      </c>
      <c r="E16" s="6" t="s">
        <v>70</v>
      </c>
    </row>
    <row r="17" customFormat="false" ht="16.5" hidden="false" customHeight="true" outlineLevel="0" collapsed="false">
      <c r="A17" s="10" t="s">
        <v>1065</v>
      </c>
      <c r="B17" s="11" t="s">
        <v>1066</v>
      </c>
      <c r="C17" s="11" t="s">
        <v>1067</v>
      </c>
      <c r="D17" s="11" t="s">
        <v>665</v>
      </c>
      <c r="E17" s="11" t="s">
        <v>70</v>
      </c>
    </row>
    <row r="18" customFormat="false" ht="16.5" hidden="false" customHeight="true" outlineLevel="0" collapsed="false">
      <c r="A18" s="5" t="s">
        <v>1068</v>
      </c>
      <c r="B18" s="6" t="s">
        <v>1069</v>
      </c>
      <c r="C18" s="6" t="s">
        <v>1070</v>
      </c>
      <c r="D18" s="6" t="s">
        <v>1071</v>
      </c>
      <c r="E18" s="6" t="s">
        <v>70</v>
      </c>
    </row>
    <row r="19" customFormat="false" ht="41.25" hidden="false" customHeight="true" outlineLevel="0" collapsed="false">
      <c r="A19" s="10" t="s">
        <v>1072</v>
      </c>
      <c r="B19" s="11" t="s">
        <v>1073</v>
      </c>
      <c r="C19" s="11" t="s">
        <v>1074</v>
      </c>
      <c r="D19" s="11" t="s">
        <v>1075</v>
      </c>
      <c r="E19" s="11" t="s">
        <v>1076</v>
      </c>
    </row>
    <row r="20" customFormat="false" ht="28.5" hidden="false" customHeight="true" outlineLevel="0" collapsed="false">
      <c r="A20" s="5" t="s">
        <v>1077</v>
      </c>
      <c r="B20" s="6" t="s">
        <v>1078</v>
      </c>
      <c r="C20" s="6" t="s">
        <v>1079</v>
      </c>
      <c r="D20" s="6" t="s">
        <v>1080</v>
      </c>
      <c r="E20" s="6" t="s">
        <v>1076</v>
      </c>
    </row>
    <row r="21" customFormat="false" ht="16.5" hidden="false" customHeight="true" outlineLevel="0" collapsed="false">
      <c r="A21" s="10" t="s">
        <v>1081</v>
      </c>
      <c r="B21" s="11" t="s">
        <v>1082</v>
      </c>
      <c r="C21" s="11" t="s">
        <v>1083</v>
      </c>
      <c r="D21" s="11" t="s">
        <v>1084</v>
      </c>
      <c r="E21" s="11" t="s">
        <v>70</v>
      </c>
    </row>
    <row r="22" customFormat="false" ht="16.5" hidden="false" customHeight="true" outlineLevel="0" collapsed="false">
      <c r="A22" s="5" t="s">
        <v>1085</v>
      </c>
      <c r="B22" s="6" t="s">
        <v>1086</v>
      </c>
      <c r="C22" s="6" t="s">
        <v>1087</v>
      </c>
      <c r="D22" s="6" t="s">
        <v>1088</v>
      </c>
      <c r="E22" s="6" t="s">
        <v>70</v>
      </c>
    </row>
    <row r="23" customFormat="false" ht="28.5" hidden="false" customHeight="true" outlineLevel="0" collapsed="false">
      <c r="A23" s="10" t="s">
        <v>1089</v>
      </c>
      <c r="B23" s="11" t="s">
        <v>1090</v>
      </c>
      <c r="C23" s="11" t="s">
        <v>1091</v>
      </c>
      <c r="D23" s="11" t="s">
        <v>742</v>
      </c>
      <c r="E23" s="11" t="s">
        <v>1092</v>
      </c>
    </row>
    <row r="24" customFormat="false" ht="16.5" hidden="false" customHeight="true" outlineLevel="0" collapsed="false">
      <c r="A24" s="5" t="s">
        <v>1093</v>
      </c>
      <c r="B24" s="6" t="s">
        <v>1094</v>
      </c>
      <c r="C24" s="6" t="s">
        <v>1095</v>
      </c>
      <c r="D24" s="6" t="s">
        <v>342</v>
      </c>
      <c r="E24" s="6" t="s">
        <v>70</v>
      </c>
    </row>
    <row r="25" customFormat="false" ht="28.5" hidden="false" customHeight="true" outlineLevel="0" collapsed="false">
      <c r="A25" s="10" t="s">
        <v>1096</v>
      </c>
      <c r="B25" s="11" t="s">
        <v>1097</v>
      </c>
      <c r="C25" s="11" t="s">
        <v>1098</v>
      </c>
      <c r="D25" s="11" t="s">
        <v>352</v>
      </c>
      <c r="E25" s="11" t="s">
        <v>1076</v>
      </c>
    </row>
    <row r="26" customFormat="false" ht="28.5" hidden="false" customHeight="true" outlineLevel="0" collapsed="false">
      <c r="A26" s="5" t="s">
        <v>1099</v>
      </c>
      <c r="B26" s="6" t="s">
        <v>1100</v>
      </c>
      <c r="C26" s="6" t="s">
        <v>1101</v>
      </c>
      <c r="D26" s="6" t="s">
        <v>359</v>
      </c>
      <c r="E26" s="6" t="s">
        <v>1076</v>
      </c>
    </row>
    <row r="27" customFormat="false" ht="16.5" hidden="false" customHeight="true" outlineLevel="0" collapsed="false">
      <c r="A27" s="10" t="s">
        <v>1102</v>
      </c>
      <c r="B27" s="11" t="s">
        <v>1103</v>
      </c>
      <c r="C27" s="11" t="s">
        <v>1104</v>
      </c>
      <c r="D27" s="11" t="s">
        <v>319</v>
      </c>
      <c r="E27" s="11" t="s">
        <v>70</v>
      </c>
    </row>
    <row r="28" customFormat="false" ht="66" hidden="false" customHeight="true" outlineLevel="0" collapsed="false">
      <c r="A28" s="5" t="s">
        <v>1105</v>
      </c>
      <c r="B28" s="6" t="s">
        <v>1106</v>
      </c>
      <c r="C28" s="6" t="s">
        <v>1107</v>
      </c>
      <c r="D28" s="6" t="s">
        <v>154</v>
      </c>
      <c r="E28" s="6" t="s">
        <v>1076</v>
      </c>
    </row>
    <row r="29" customFormat="false" ht="28.5" hidden="false" customHeight="true" outlineLevel="0" collapsed="false">
      <c r="A29" s="10" t="s">
        <v>1108</v>
      </c>
      <c r="B29" s="11" t="s">
        <v>1109</v>
      </c>
      <c r="C29" s="11" t="s">
        <v>1110</v>
      </c>
      <c r="D29" s="11" t="s">
        <v>1111</v>
      </c>
      <c r="E29" s="11" t="s">
        <v>1112</v>
      </c>
    </row>
    <row r="30" customFormat="false" ht="41.25" hidden="false" customHeight="true" outlineLevel="0" collapsed="false">
      <c r="A30" s="5" t="s">
        <v>1113</v>
      </c>
      <c r="B30" s="6" t="s">
        <v>1114</v>
      </c>
      <c r="C30" s="6" t="s">
        <v>1115</v>
      </c>
      <c r="D30" s="6" t="s">
        <v>1116</v>
      </c>
      <c r="E30" s="6" t="s">
        <v>1117</v>
      </c>
    </row>
    <row r="31" customFormat="false" ht="28.5" hidden="false" customHeight="true" outlineLevel="0" collapsed="false">
      <c r="A31" s="10" t="s">
        <v>1118</v>
      </c>
      <c r="B31" s="11" t="s">
        <v>1119</v>
      </c>
      <c r="C31" s="11" t="s">
        <v>1120</v>
      </c>
      <c r="D31" s="11" t="s">
        <v>1121</v>
      </c>
      <c r="E31" s="11" t="s">
        <v>70</v>
      </c>
    </row>
    <row r="32" customFormat="false" ht="28.5" hidden="false" customHeight="true" outlineLevel="0" collapsed="false">
      <c r="A32" s="5" t="s">
        <v>1122</v>
      </c>
      <c r="B32" s="6" t="s">
        <v>1123</v>
      </c>
      <c r="C32" s="6" t="s">
        <v>1124</v>
      </c>
      <c r="D32" s="6" t="s">
        <v>1125</v>
      </c>
      <c r="E32" s="6" t="s">
        <v>70</v>
      </c>
    </row>
    <row r="33" customFormat="false" ht="28.5" hidden="false" customHeight="true" outlineLevel="0" collapsed="false">
      <c r="A33" s="10" t="s">
        <v>1126</v>
      </c>
      <c r="B33" s="11" t="s">
        <v>1127</v>
      </c>
      <c r="C33" s="11" t="s">
        <v>1128</v>
      </c>
      <c r="D33" s="11" t="s">
        <v>1129</v>
      </c>
      <c r="E33" s="11" t="s">
        <v>1130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8" min="5" style="0" width="12"/>
    <col collapsed="false" customWidth="true" hidden="false" outlineLevel="0" max="9" min="9" style="0" width="26"/>
  </cols>
  <sheetData>
    <row r="1" customFormat="false" ht="17.35" hidden="false" customHeight="false" outlineLevel="0" collapsed="false">
      <c r="A1" s="13" t="s">
        <v>1131</v>
      </c>
    </row>
    <row r="2" customFormat="false" ht="15" hidden="false" customHeight="false" outlineLevel="0" collapsed="false">
      <c r="A2" s="14" t="s">
        <v>1132</v>
      </c>
    </row>
    <row r="4" customFormat="false" ht="15" hidden="false" customHeight="false" outlineLevel="0" collapsed="false">
      <c r="A4" s="15" t="s">
        <v>1133</v>
      </c>
    </row>
    <row r="5" customFormat="false" ht="30" hidden="false" customHeight="true" outlineLevel="0" collapsed="false">
      <c r="A5" s="4" t="s">
        <v>1134</v>
      </c>
      <c r="B5" s="4" t="s">
        <v>1135</v>
      </c>
      <c r="C5" s="4" t="s">
        <v>1136</v>
      </c>
      <c r="D5" s="4" t="s">
        <v>1137</v>
      </c>
      <c r="E5" s="4" t="s">
        <v>1138</v>
      </c>
      <c r="F5" s="4" t="s">
        <v>1139</v>
      </c>
      <c r="G5" s="4" t="s">
        <v>1140</v>
      </c>
      <c r="H5" s="4" t="s">
        <v>1141</v>
      </c>
      <c r="I5" s="4" t="s">
        <v>1142</v>
      </c>
    </row>
    <row r="6" customFormat="false" ht="15" hidden="false" customHeight="false" outlineLevel="0" collapsed="false">
      <c r="A6" s="16" t="s">
        <v>1143</v>
      </c>
      <c r="B6" s="17" t="n">
        <v>100000</v>
      </c>
      <c r="C6" s="18" t="n">
        <v>4.75</v>
      </c>
      <c r="D6" s="19" t="n">
        <f aca="false">B6/1000*C6</f>
        <v>475</v>
      </c>
      <c r="E6" s="19" t="n">
        <f aca="false">ROUND(D6/12,2)</f>
        <v>39.58</v>
      </c>
      <c r="F6" s="19" t="n">
        <f aca="false">ROUND(D6/4,2)</f>
        <v>118.75</v>
      </c>
      <c r="G6" s="19" t="n">
        <f aca="false">ROUND(D6/2,2)</f>
        <v>237.5</v>
      </c>
      <c r="H6" s="19" t="n">
        <f aca="false">ROUND(D6,2)</f>
        <v>475</v>
      </c>
      <c r="I6" s="20"/>
    </row>
    <row r="7" customFormat="false" ht="15" hidden="false" customHeight="false" outlineLevel="0" collapsed="false">
      <c r="A7" s="16" t="s">
        <v>1144</v>
      </c>
      <c r="B7" s="17" t="n">
        <v>250000</v>
      </c>
      <c r="C7" s="18" t="n">
        <v>4.75</v>
      </c>
      <c r="D7" s="19" t="n">
        <f aca="false">B7/1000*C7</f>
        <v>1187.5</v>
      </c>
      <c r="E7" s="19" t="n">
        <f aca="false">ROUND(D7/12,2)</f>
        <v>98.96</v>
      </c>
      <c r="F7" s="19" t="n">
        <f aca="false">ROUND(D7/4,2)</f>
        <v>296.88</v>
      </c>
      <c r="G7" s="19" t="n">
        <f aca="false">ROUND(D7/2,2)</f>
        <v>593.75</v>
      </c>
      <c r="H7" s="19" t="n">
        <f aca="false">ROUND(D7,2)</f>
        <v>1187.5</v>
      </c>
      <c r="I7" s="20" t="str">
        <f aca="false">IF(E7=98.96,"matches seed monthly 98.96","DIFFERENT")</f>
        <v>matches seed monthly 98.96</v>
      </c>
    </row>
    <row r="8" customFormat="false" ht="22.35" hidden="false" customHeight="false" outlineLevel="0" collapsed="false">
      <c r="A8" s="16" t="s">
        <v>1145</v>
      </c>
      <c r="B8" s="17" t="n">
        <v>150000</v>
      </c>
      <c r="C8" s="18" t="n">
        <v>5.35</v>
      </c>
      <c r="D8" s="19" t="n">
        <f aca="false">B8/1000*C8</f>
        <v>802.5</v>
      </c>
      <c r="E8" s="19" t="n">
        <f aca="false">ROUND(D8/12,2)</f>
        <v>66.88</v>
      </c>
      <c r="F8" s="19" t="n">
        <f aca="false">ROUND(D8/4,2)</f>
        <v>200.63</v>
      </c>
      <c r="G8" s="19" t="n">
        <f aca="false">ROUND(D8/2,2)</f>
        <v>401.25</v>
      </c>
      <c r="H8" s="19" t="n">
        <f aca="false">ROUND(D8,2)</f>
        <v>802.5</v>
      </c>
      <c r="I8" s="20"/>
    </row>
    <row r="9" customFormat="false" ht="15" hidden="false" customHeight="false" outlineLevel="0" collapsed="false">
      <c r="A9" s="16" t="s">
        <v>1146</v>
      </c>
      <c r="B9" s="17" t="n">
        <v>350000</v>
      </c>
      <c r="C9" s="18" t="n">
        <v>5.35</v>
      </c>
      <c r="D9" s="19" t="n">
        <f aca="false">B9/1000*C9</f>
        <v>1872.5</v>
      </c>
      <c r="E9" s="19" t="n">
        <f aca="false">ROUND(D9/12,2)</f>
        <v>156.04</v>
      </c>
      <c r="F9" s="19" t="n">
        <f aca="false">ROUND(D9/4,2)</f>
        <v>468.13</v>
      </c>
      <c r="G9" s="19" t="n">
        <f aca="false">ROUND(D9/2,2)</f>
        <v>936.25</v>
      </c>
      <c r="H9" s="19" t="n">
        <f aca="false">ROUND(D9,2)</f>
        <v>1872.5</v>
      </c>
      <c r="I9" s="20" t="str">
        <f aca="false">IF(F9=468.13,"matches seed quarterly 468.13","DIFFERENT")</f>
        <v>matches seed quarterly 468.13</v>
      </c>
    </row>
    <row r="10" customFormat="false" ht="15" hidden="false" customHeight="false" outlineLevel="0" collapsed="false">
      <c r="A10" s="16" t="s">
        <v>1147</v>
      </c>
      <c r="B10" s="17" t="n">
        <v>500000</v>
      </c>
      <c r="C10" s="18" t="n">
        <v>6.1</v>
      </c>
      <c r="D10" s="19" t="n">
        <f aca="false">B10/1000*C10</f>
        <v>3050</v>
      </c>
      <c r="E10" s="19" t="n">
        <f aca="false">ROUND(D10/12,2)</f>
        <v>254.17</v>
      </c>
      <c r="F10" s="19" t="n">
        <f aca="false">ROUND(D10/4,2)</f>
        <v>762.5</v>
      </c>
      <c r="G10" s="19" t="n">
        <f aca="false">ROUND(D10/2,2)</f>
        <v>1525</v>
      </c>
      <c r="H10" s="19" t="n">
        <f aca="false">ROUND(D10,2)</f>
        <v>3050</v>
      </c>
      <c r="I10" s="20"/>
    </row>
    <row r="11" customFormat="false" ht="15" hidden="false" customHeight="false" outlineLevel="0" collapsed="false">
      <c r="A11" s="16" t="s">
        <v>1148</v>
      </c>
      <c r="B11" s="17" t="n">
        <v>100000</v>
      </c>
      <c r="C11" s="18" t="n">
        <v>5</v>
      </c>
      <c r="D11" s="19" t="n">
        <f aca="false">B11/1000*C11</f>
        <v>500</v>
      </c>
      <c r="E11" s="19" t="n">
        <f aca="false">ROUND(D11/12,2)</f>
        <v>41.67</v>
      </c>
      <c r="F11" s="19" t="n">
        <f aca="false">ROUND(D11/4,2)</f>
        <v>125</v>
      </c>
      <c r="G11" s="19" t="n">
        <f aca="false">ROUND(D11/2,2)</f>
        <v>250</v>
      </c>
      <c r="H11" s="19" t="n">
        <f aca="false">ROUND(D11,2)</f>
        <v>500</v>
      </c>
      <c r="I11" s="20"/>
    </row>
    <row r="12" customFormat="false" ht="22.35" hidden="false" customHeight="false" outlineLevel="0" collapsed="false">
      <c r="A12" s="16" t="s">
        <v>1149</v>
      </c>
      <c r="B12" s="17" t="n">
        <v>200000</v>
      </c>
      <c r="C12" s="18" t="n">
        <v>5.85</v>
      </c>
      <c r="D12" s="19" t="n">
        <f aca="false">B12/1000*C12</f>
        <v>1170</v>
      </c>
      <c r="E12" s="19" t="n">
        <f aca="false">ROUND(D12/12,2)</f>
        <v>97.5</v>
      </c>
      <c r="F12" s="19" t="n">
        <f aca="false">ROUND(D12/4,2)</f>
        <v>292.5</v>
      </c>
      <c r="G12" s="19" t="n">
        <f aca="false">ROUND(D12/2,2)</f>
        <v>585</v>
      </c>
      <c r="H12" s="19" t="n">
        <f aca="false">ROUND(D12,2)</f>
        <v>1170</v>
      </c>
      <c r="I12" s="20"/>
    </row>
    <row r="14" customFormat="false" ht="15" hidden="false" customHeight="false" outlineLevel="0" collapsed="false">
      <c r="A14" s="15" t="s">
        <v>1150</v>
      </c>
    </row>
    <row r="15" customFormat="false" ht="30" hidden="false" customHeight="true" outlineLevel="0" collapsed="false">
      <c r="A15" s="4" t="s">
        <v>1151</v>
      </c>
      <c r="B15" s="4" t="s">
        <v>1152</v>
      </c>
      <c r="C15" s="4" t="s">
        <v>1136</v>
      </c>
      <c r="D15" s="4" t="s">
        <v>1137</v>
      </c>
      <c r="E15" s="4" t="s">
        <v>1138</v>
      </c>
      <c r="F15" s="4" t="s">
        <v>1139</v>
      </c>
      <c r="G15" s="4" t="s">
        <v>1140</v>
      </c>
      <c r="H15" s="4" t="s">
        <v>1141</v>
      </c>
      <c r="I15" s="4" t="s">
        <v>1153</v>
      </c>
    </row>
    <row r="16" customFormat="false" ht="22.35" hidden="false" customHeight="false" outlineLevel="0" collapsed="false">
      <c r="A16" s="16" t="s">
        <v>1154</v>
      </c>
      <c r="B16" s="17" t="n">
        <v>250000</v>
      </c>
      <c r="C16" s="18" t="n">
        <v>0.85</v>
      </c>
      <c r="D16" s="19" t="n">
        <f aca="false">B16/1000*C16</f>
        <v>212.5</v>
      </c>
      <c r="E16" s="19" t="n">
        <f aca="false">ROUND(D16/12,2)</f>
        <v>17.71</v>
      </c>
      <c r="F16" s="19" t="n">
        <f aca="false">ROUND(D16/4,2)</f>
        <v>53.13</v>
      </c>
      <c r="G16" s="19" t="n">
        <f aca="false">ROUND(D16/2,2)</f>
        <v>106.25</v>
      </c>
      <c r="H16" s="19" t="n">
        <f aca="false">ROUND(D16,2)</f>
        <v>212.5</v>
      </c>
      <c r="I16" s="20" t="s">
        <v>1155</v>
      </c>
    </row>
    <row r="17" customFormat="false" ht="15" hidden="false" customHeight="false" outlineLevel="0" collapsed="false">
      <c r="A17" s="16" t="s">
        <v>1156</v>
      </c>
      <c r="B17" s="17" t="n">
        <v>250000</v>
      </c>
      <c r="C17" s="18" t="n">
        <v>1.1</v>
      </c>
      <c r="D17" s="19" t="n">
        <f aca="false">B17/1000*C17</f>
        <v>275</v>
      </c>
      <c r="E17" s="19" t="n">
        <f aca="false">ROUND(D17/12,2)</f>
        <v>22.92</v>
      </c>
      <c r="F17" s="19" t="n">
        <f aca="false">ROUND(D17/4,2)</f>
        <v>68.75</v>
      </c>
      <c r="G17" s="19" t="n">
        <f aca="false">ROUND(D17/2,2)</f>
        <v>137.5</v>
      </c>
      <c r="H17" s="19" t="n">
        <f aca="false">ROUND(D17,2)</f>
        <v>275</v>
      </c>
      <c r="I17" s="20"/>
    </row>
    <row r="18" customFormat="false" ht="15" hidden="false" customHeight="false" outlineLevel="0" collapsed="false">
      <c r="A18" s="16" t="s">
        <v>1157</v>
      </c>
      <c r="B18" s="17" t="n">
        <v>250000</v>
      </c>
      <c r="C18" s="18" t="n">
        <v>1.25</v>
      </c>
      <c r="D18" s="19" t="n">
        <f aca="false">B18/1000*C18</f>
        <v>312.5</v>
      </c>
      <c r="E18" s="19" t="n">
        <f aca="false">ROUND(D18/12,2)</f>
        <v>26.04</v>
      </c>
      <c r="F18" s="19" t="n">
        <f aca="false">ROUND(D18/4,2)</f>
        <v>78.13</v>
      </c>
      <c r="G18" s="19" t="n">
        <f aca="false">ROUND(D18/2,2)</f>
        <v>156.25</v>
      </c>
      <c r="H18" s="19" t="n">
        <f aca="false">ROUND(D18,2)</f>
        <v>312.5</v>
      </c>
      <c r="I18" s="20"/>
    </row>
    <row r="19" customFormat="false" ht="15" hidden="false" customHeight="false" outlineLevel="0" collapsed="false">
      <c r="A19" s="16" t="s">
        <v>1158</v>
      </c>
      <c r="B19" s="17" t="n">
        <v>250000</v>
      </c>
      <c r="C19" s="18" t="n">
        <v>1.6</v>
      </c>
      <c r="D19" s="19" t="n">
        <f aca="false">B19/1000*C19</f>
        <v>400</v>
      </c>
      <c r="E19" s="19" t="n">
        <f aca="false">ROUND(D19/12,2)</f>
        <v>33.33</v>
      </c>
      <c r="F19" s="19" t="n">
        <f aca="false">ROUND(D19/4,2)</f>
        <v>100</v>
      </c>
      <c r="G19" s="19" t="n">
        <f aca="false">ROUND(D19/2,2)</f>
        <v>200</v>
      </c>
      <c r="H19" s="19" t="n">
        <f aca="false">ROUND(D19,2)</f>
        <v>400</v>
      </c>
      <c r="I19" s="20"/>
    </row>
    <row r="20" customFormat="false" ht="22.35" hidden="false" customHeight="false" outlineLevel="0" collapsed="false">
      <c r="A20" s="16" t="s">
        <v>1159</v>
      </c>
      <c r="B20" s="17" t="n">
        <v>100000</v>
      </c>
      <c r="C20" s="18" t="n">
        <v>0.65</v>
      </c>
      <c r="D20" s="19" t="n">
        <f aca="false">B20/1000*C20</f>
        <v>65</v>
      </c>
      <c r="E20" s="19" t="n">
        <f aca="false">ROUND(D20/12,2)</f>
        <v>5.42</v>
      </c>
      <c r="F20" s="19" t="n">
        <f aca="false">ROUND(D20/4,2)</f>
        <v>16.25</v>
      </c>
      <c r="G20" s="19" t="n">
        <f aca="false">ROUND(D20/2,2)</f>
        <v>32.5</v>
      </c>
      <c r="H20" s="19" t="n">
        <f aca="false">ROUND(D20,2)</f>
        <v>65</v>
      </c>
      <c r="I20" s="20"/>
    </row>
    <row r="22" customFormat="false" ht="15" hidden="false" customHeight="false" outlineLevel="0" collapsed="false">
      <c r="A22" s="15" t="s">
        <v>1160</v>
      </c>
    </row>
    <row r="23" customFormat="false" ht="15" hidden="false" customHeight="false" outlineLevel="0" collapsed="false">
      <c r="A23" s="21" t="s">
        <v>1161</v>
      </c>
      <c r="B23" s="22" t="n">
        <v>20</v>
      </c>
      <c r="C23" s="14" t="s">
        <v>1162</v>
      </c>
    </row>
    <row r="24" customFormat="false" ht="30" hidden="false" customHeight="true" outlineLevel="0" collapsed="false">
      <c r="A24" s="4" t="s">
        <v>1163</v>
      </c>
      <c r="B24" s="4" t="s">
        <v>1164</v>
      </c>
      <c r="C24" s="4" t="s">
        <v>1165</v>
      </c>
      <c r="D24" s="4" t="s">
        <v>1137</v>
      </c>
      <c r="E24" s="4" t="s">
        <v>1166</v>
      </c>
      <c r="F24" s="4"/>
      <c r="G24" s="4"/>
      <c r="H24" s="4"/>
      <c r="I24" s="4" t="s">
        <v>1167</v>
      </c>
    </row>
    <row r="25" customFormat="false" ht="22.35" hidden="false" customHeight="false" outlineLevel="0" collapsed="false">
      <c r="A25" s="16" t="s">
        <v>1168</v>
      </c>
      <c r="B25" s="17" t="n">
        <v>5000</v>
      </c>
      <c r="C25" s="19" t="n">
        <f aca="false">B25*$B$23/100</f>
        <v>1000</v>
      </c>
      <c r="D25" s="19" t="n">
        <f aca="false">D7</f>
        <v>1187.5</v>
      </c>
      <c r="E25" s="20" t="str">
        <f aca="false">IF(D25&gt;C25,"EXCEEDS","OK")</f>
        <v>EXCEEDS</v>
      </c>
      <c r="I25" s="20" t="str">
        <f aca="false">IF(E25="EXCEEDS","Premium exceeds affordability threshold.","none")</f>
        <v>Premium exceeds affordability threshold.</v>
      </c>
    </row>
    <row r="26" customFormat="false" ht="15" hidden="false" customHeight="false" outlineLevel="0" collapsed="false">
      <c r="A26" s="16" t="s">
        <v>1169</v>
      </c>
      <c r="B26" s="17" t="n">
        <v>50000</v>
      </c>
      <c r="C26" s="19" t="n">
        <f aca="false">B26*$B$23/100</f>
        <v>10000</v>
      </c>
      <c r="D26" s="19" t="n">
        <f aca="false">D7</f>
        <v>1187.5</v>
      </c>
      <c r="E26" s="20" t="str">
        <f aca="false">IF(D26&gt;C26,"EXCEEDS","OK")</f>
        <v>OK</v>
      </c>
      <c r="I26" s="20" t="str">
        <f aca="false">IF(E26="EXCEEDS","Premium exceeds affordability threshold.","none")</f>
        <v>none</v>
      </c>
    </row>
    <row r="27" customFormat="false" ht="22.35" hidden="false" customHeight="false" outlineLevel="0" collapsed="false">
      <c r="A27" s="16" t="s">
        <v>1170</v>
      </c>
      <c r="B27" s="17" t="n">
        <v>10000</v>
      </c>
      <c r="C27" s="19" t="n">
        <f aca="false">B27*$B$23/100</f>
        <v>2000</v>
      </c>
      <c r="D27" s="19" t="n">
        <f aca="false">D10</f>
        <v>3050</v>
      </c>
      <c r="E27" s="20" t="str">
        <f aca="false">IF(D27&gt;C27,"EXCEEDS","OK")</f>
        <v>EXCEEDS</v>
      </c>
      <c r="I27" s="20" t="str">
        <f aca="false">IF(E27="EXCEEDS","Premium exceeds affordability threshold.","none")</f>
        <v>Premium exceeds affordability threshold.</v>
      </c>
    </row>
    <row r="30" customFormat="false" ht="15" hidden="false" customHeight="false" outlineLevel="0" collapsed="false">
      <c r="A30" s="14" t="s">
        <v>1171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46"/>
    <col collapsed="false" customWidth="true" hidden="false" outlineLevel="0" max="4" min="4" style="0" width="40"/>
    <col collapsed="false" customWidth="true" hidden="false" outlineLevel="0" max="5" min="5" style="0" width="14"/>
    <col collapsed="false" customWidth="true" hidden="false" outlineLevel="0" max="6" min="6" style="0" width="10"/>
  </cols>
  <sheetData>
    <row r="1" customFormat="false" ht="17.35" hidden="false" customHeight="false" outlineLevel="0" collapsed="false">
      <c r="A1" s="13" t="s">
        <v>1172</v>
      </c>
    </row>
    <row r="2" customFormat="false" ht="15" hidden="false" customHeight="false" outlineLevel="0" collapsed="false">
      <c r="A2" s="14" t="s">
        <v>1173</v>
      </c>
    </row>
    <row r="4" customFormat="false" ht="15" hidden="false" customHeight="false" outlineLevel="0" collapsed="false">
      <c r="A4" s="23" t="s">
        <v>1174</v>
      </c>
    </row>
    <row r="5" customFormat="false" ht="30" hidden="false" customHeight="true" outlineLevel="0" collapsed="false">
      <c r="A5" s="4" t="s">
        <v>1175</v>
      </c>
      <c r="B5" s="4" t="s">
        <v>1176</v>
      </c>
      <c r="C5" s="4" t="s">
        <v>1153</v>
      </c>
      <c r="D5" s="4"/>
      <c r="E5" s="4" t="s">
        <v>1177</v>
      </c>
    </row>
    <row r="6" customFormat="false" ht="28.5" hidden="false" customHeight="true" outlineLevel="0" collapsed="false">
      <c r="A6" s="5" t="s">
        <v>1178</v>
      </c>
      <c r="B6" s="6" t="s">
        <v>1179</v>
      </c>
      <c r="C6" s="6" t="s">
        <v>1180</v>
      </c>
      <c r="D6" s="6"/>
      <c r="E6" s="6" t="s">
        <v>1181</v>
      </c>
    </row>
    <row r="7" customFormat="false" ht="16.5" hidden="false" customHeight="true" outlineLevel="0" collapsed="false">
      <c r="A7" s="5" t="s">
        <v>1182</v>
      </c>
      <c r="B7" s="6" t="s">
        <v>1183</v>
      </c>
      <c r="C7" s="6" t="s">
        <v>1184</v>
      </c>
      <c r="D7" s="6"/>
      <c r="E7" s="6" t="s">
        <v>1185</v>
      </c>
    </row>
    <row r="8" customFormat="false" ht="28.5" hidden="false" customHeight="true" outlineLevel="0" collapsed="false">
      <c r="A8" s="5" t="s">
        <v>1186</v>
      </c>
      <c r="B8" s="6" t="s">
        <v>1187</v>
      </c>
      <c r="C8" s="6" t="s">
        <v>1188</v>
      </c>
      <c r="D8" s="6"/>
      <c r="E8" s="6" t="s">
        <v>69</v>
      </c>
    </row>
    <row r="9" customFormat="false" ht="41.25" hidden="false" customHeight="true" outlineLevel="0" collapsed="false">
      <c r="A9" s="5" t="s">
        <v>1189</v>
      </c>
      <c r="B9" s="6" t="s">
        <v>1190</v>
      </c>
      <c r="C9" s="6" t="s">
        <v>1191</v>
      </c>
      <c r="D9" s="6"/>
      <c r="E9" s="6" t="s">
        <v>1192</v>
      </c>
    </row>
    <row r="10" customFormat="false" ht="28.5" hidden="false" customHeight="true" outlineLevel="0" collapsed="false">
      <c r="A10" s="5" t="s">
        <v>1193</v>
      </c>
      <c r="B10" s="6" t="s">
        <v>1194</v>
      </c>
      <c r="C10" s="6" t="s">
        <v>1195</v>
      </c>
      <c r="D10" s="6"/>
      <c r="E10" s="6" t="s">
        <v>1196</v>
      </c>
    </row>
    <row r="11" customFormat="false" ht="41.25" hidden="false" customHeight="true" outlineLevel="0" collapsed="false">
      <c r="A11" s="5" t="s">
        <v>1197</v>
      </c>
      <c r="B11" s="6" t="s">
        <v>1198</v>
      </c>
      <c r="C11" s="6" t="s">
        <v>1199</v>
      </c>
      <c r="D11" s="6"/>
      <c r="E11" s="6" t="s">
        <v>1200</v>
      </c>
    </row>
    <row r="12" customFormat="false" ht="16.5" hidden="false" customHeight="true" outlineLevel="0" collapsed="false">
      <c r="A12" s="5" t="s">
        <v>1201</v>
      </c>
      <c r="B12" s="6" t="s">
        <v>1202</v>
      </c>
      <c r="C12" s="6" t="s">
        <v>1203</v>
      </c>
      <c r="D12" s="6"/>
      <c r="E12" s="6" t="s">
        <v>1204</v>
      </c>
    </row>
    <row r="13" customFormat="false" ht="28.5" hidden="false" customHeight="true" outlineLevel="0" collapsed="false">
      <c r="A13" s="5" t="s">
        <v>1205</v>
      </c>
      <c r="B13" s="6" t="s">
        <v>1206</v>
      </c>
      <c r="C13" s="6" t="s">
        <v>1207</v>
      </c>
      <c r="D13" s="6"/>
      <c r="E13" s="6" t="s">
        <v>1204</v>
      </c>
    </row>
    <row r="15" customFormat="false" ht="15" hidden="false" customHeight="false" outlineLevel="0" collapsed="false">
      <c r="A15" s="23" t="s">
        <v>1208</v>
      </c>
    </row>
    <row r="16" customFormat="false" ht="30" hidden="false" customHeight="true" outlineLevel="0" collapsed="false">
      <c r="A16" s="4" t="s">
        <v>1209</v>
      </c>
      <c r="B16" s="4" t="s">
        <v>1210</v>
      </c>
      <c r="C16" s="4" t="s">
        <v>1211</v>
      </c>
      <c r="D16" s="4"/>
      <c r="E16" s="4" t="s">
        <v>1177</v>
      </c>
    </row>
    <row r="17" customFormat="false" ht="16.5" hidden="false" customHeight="true" outlineLevel="0" collapsed="false">
      <c r="A17" s="5" t="s">
        <v>1212</v>
      </c>
      <c r="B17" s="6" t="s">
        <v>1213</v>
      </c>
      <c r="C17" s="6" t="s">
        <v>1214</v>
      </c>
      <c r="D17" s="6"/>
      <c r="E17" s="6" t="s">
        <v>69</v>
      </c>
    </row>
    <row r="18" customFormat="false" ht="16.5" hidden="false" customHeight="true" outlineLevel="0" collapsed="false">
      <c r="A18" s="5" t="s">
        <v>1215</v>
      </c>
      <c r="B18" s="6" t="s">
        <v>1216</v>
      </c>
      <c r="C18" s="6" t="s">
        <v>1217</v>
      </c>
      <c r="D18" s="6"/>
      <c r="E18" s="6" t="s">
        <v>69</v>
      </c>
    </row>
    <row r="19" customFormat="false" ht="16.5" hidden="false" customHeight="true" outlineLevel="0" collapsed="false">
      <c r="A19" s="5" t="s">
        <v>1218</v>
      </c>
      <c r="B19" s="6" t="s">
        <v>1219</v>
      </c>
      <c r="C19" s="6" t="s">
        <v>1220</v>
      </c>
      <c r="D19" s="6"/>
      <c r="E19" s="6" t="s">
        <v>69</v>
      </c>
    </row>
    <row r="20" customFormat="false" ht="28.5" hidden="false" customHeight="true" outlineLevel="0" collapsed="false">
      <c r="A20" s="5" t="s">
        <v>1221</v>
      </c>
      <c r="B20" s="6" t="s">
        <v>1222</v>
      </c>
      <c r="C20" s="6" t="s">
        <v>1223</v>
      </c>
      <c r="D20" s="6"/>
      <c r="E20" s="6" t="s">
        <v>69</v>
      </c>
    </row>
    <row r="21" customFormat="false" ht="16.5" hidden="false" customHeight="true" outlineLevel="0" collapsed="false">
      <c r="A21" s="5" t="s">
        <v>1224</v>
      </c>
      <c r="B21" s="6" t="s">
        <v>1225</v>
      </c>
      <c r="C21" s="6" t="s">
        <v>1226</v>
      </c>
      <c r="D21" s="6"/>
      <c r="E21" s="6" t="s">
        <v>69</v>
      </c>
    </row>
    <row r="22" customFormat="false" ht="28.5" hidden="false" customHeight="true" outlineLevel="0" collapsed="false">
      <c r="A22" s="5" t="s">
        <v>1227</v>
      </c>
      <c r="B22" s="6" t="s">
        <v>1228</v>
      </c>
      <c r="C22" s="6" t="s">
        <v>1229</v>
      </c>
      <c r="D22" s="6"/>
      <c r="E22" s="6" t="s">
        <v>1185</v>
      </c>
    </row>
    <row r="24" customFormat="false" ht="15" hidden="false" customHeight="false" outlineLevel="0" collapsed="false">
      <c r="A24" s="23" t="s">
        <v>1230</v>
      </c>
    </row>
    <row r="25" customFormat="false" ht="30" hidden="false" customHeight="true" outlineLevel="0" collapsed="false">
      <c r="A25" s="4" t="s">
        <v>1231</v>
      </c>
      <c r="B25" s="4" t="s">
        <v>1232</v>
      </c>
      <c r="C25" s="4" t="s">
        <v>1233</v>
      </c>
      <c r="D25" s="4"/>
      <c r="E25" s="4" t="s">
        <v>1177</v>
      </c>
    </row>
    <row r="26" customFormat="false" ht="41.25" hidden="false" customHeight="true" outlineLevel="0" collapsed="false">
      <c r="A26" s="5" t="s">
        <v>52</v>
      </c>
      <c r="B26" s="6" t="s">
        <v>1234</v>
      </c>
      <c r="C26" s="6" t="s">
        <v>1235</v>
      </c>
      <c r="D26" s="6"/>
      <c r="E26" s="6" t="s">
        <v>112</v>
      </c>
    </row>
    <row r="27" customFormat="false" ht="28.5" hidden="false" customHeight="true" outlineLevel="0" collapsed="false">
      <c r="A27" s="5" t="s">
        <v>1236</v>
      </c>
      <c r="B27" s="6" t="s">
        <v>1237</v>
      </c>
      <c r="C27" s="6" t="s">
        <v>1238</v>
      </c>
      <c r="D27" s="6"/>
      <c r="E27" s="6" t="s">
        <v>112</v>
      </c>
    </row>
    <row r="28" customFormat="false" ht="28.5" hidden="false" customHeight="true" outlineLevel="0" collapsed="false">
      <c r="A28" s="5" t="s">
        <v>1239</v>
      </c>
      <c r="B28" s="6" t="s">
        <v>1240</v>
      </c>
      <c r="C28" s="6" t="s">
        <v>1241</v>
      </c>
      <c r="D28" s="6"/>
      <c r="E28" s="6" t="s">
        <v>112</v>
      </c>
    </row>
    <row r="29" customFormat="false" ht="41.25" hidden="false" customHeight="true" outlineLevel="0" collapsed="false">
      <c r="A29" s="5" t="s">
        <v>1242</v>
      </c>
      <c r="B29" s="6" t="s">
        <v>1243</v>
      </c>
      <c r="C29" s="6" t="s">
        <v>1244</v>
      </c>
      <c r="D29" s="6"/>
      <c r="E29" s="6" t="s">
        <v>112</v>
      </c>
    </row>
    <row r="30" customFormat="false" ht="28.5" hidden="false" customHeight="true" outlineLevel="0" collapsed="false">
      <c r="A30" s="5" t="s">
        <v>1245</v>
      </c>
      <c r="B30" s="6" t="s">
        <v>1246</v>
      </c>
      <c r="C30" s="6" t="s">
        <v>1247</v>
      </c>
      <c r="D30" s="6"/>
      <c r="E30" s="6" t="s">
        <v>112</v>
      </c>
    </row>
    <row r="31" customFormat="false" ht="78.75" hidden="false" customHeight="true" outlineLevel="0" collapsed="false">
      <c r="A31" s="5" t="s">
        <v>1248</v>
      </c>
      <c r="B31" s="6" t="s">
        <v>1249</v>
      </c>
      <c r="C31" s="6" t="s">
        <v>1250</v>
      </c>
      <c r="D31" s="6"/>
      <c r="E31" s="6" t="s">
        <v>112</v>
      </c>
    </row>
    <row r="32" customFormat="false" ht="28.5" hidden="false" customHeight="true" outlineLevel="0" collapsed="false">
      <c r="A32" s="5" t="s">
        <v>1251</v>
      </c>
      <c r="B32" s="6" t="s">
        <v>1252</v>
      </c>
      <c r="C32" s="6" t="s">
        <v>1253</v>
      </c>
      <c r="D32" s="6"/>
      <c r="E32" s="6" t="s">
        <v>112</v>
      </c>
    </row>
    <row r="33" customFormat="false" ht="41.25" hidden="false" customHeight="true" outlineLevel="0" collapsed="false">
      <c r="A33" s="5" t="s">
        <v>1254</v>
      </c>
      <c r="B33" s="6" t="s">
        <v>1255</v>
      </c>
      <c r="C33" s="6" t="s">
        <v>1256</v>
      </c>
      <c r="D33" s="6"/>
      <c r="E33" s="6" t="s">
        <v>112</v>
      </c>
    </row>
    <row r="35" customFormat="false" ht="15" hidden="false" customHeight="false" outlineLevel="0" collapsed="false">
      <c r="A35" s="23" t="s">
        <v>1257</v>
      </c>
    </row>
    <row r="36" customFormat="false" ht="30" hidden="false" customHeight="true" outlineLevel="0" collapsed="false">
      <c r="A36" s="4" t="s">
        <v>1130</v>
      </c>
      <c r="B36" s="4" t="s">
        <v>1176</v>
      </c>
      <c r="C36" s="4" t="s">
        <v>1258</v>
      </c>
      <c r="D36" s="4"/>
      <c r="E36" s="4" t="s">
        <v>1177</v>
      </c>
    </row>
    <row r="37" customFormat="false" ht="16.5" hidden="false" customHeight="true" outlineLevel="0" collapsed="false">
      <c r="A37" s="5" t="s">
        <v>1259</v>
      </c>
      <c r="B37" s="6" t="s">
        <v>1260</v>
      </c>
      <c r="C37" s="6" t="s">
        <v>1261</v>
      </c>
      <c r="D37" s="6"/>
      <c r="E37" s="6" t="s">
        <v>1262</v>
      </c>
    </row>
    <row r="38" customFormat="false" ht="16.5" hidden="false" customHeight="true" outlineLevel="0" collapsed="false">
      <c r="A38" s="5" t="s">
        <v>1059</v>
      </c>
      <c r="B38" s="6" t="s">
        <v>1263</v>
      </c>
      <c r="C38" s="6" t="s">
        <v>1264</v>
      </c>
      <c r="D38" s="6"/>
      <c r="E38" s="6" t="s">
        <v>112</v>
      </c>
    </row>
    <row r="39" customFormat="false" ht="16.5" hidden="false" customHeight="true" outlineLevel="0" collapsed="false">
      <c r="A39" s="5" t="s">
        <v>1265</v>
      </c>
      <c r="B39" s="6" t="s">
        <v>1266</v>
      </c>
      <c r="C39" s="6" t="s">
        <v>1267</v>
      </c>
      <c r="D39" s="6"/>
      <c r="E39" s="6" t="s">
        <v>112</v>
      </c>
    </row>
    <row r="40" customFormat="false" ht="16.5" hidden="false" customHeight="true" outlineLevel="0" collapsed="false">
      <c r="A40" s="5" t="s">
        <v>1268</v>
      </c>
      <c r="B40" s="6" t="s">
        <v>1269</v>
      </c>
      <c r="C40" s="6" t="s">
        <v>1270</v>
      </c>
      <c r="D40" s="6"/>
      <c r="E40" s="6" t="s">
        <v>226</v>
      </c>
    </row>
    <row r="41" customFormat="false" ht="54" hidden="false" customHeight="true" outlineLevel="0" collapsed="false">
      <c r="A41" s="5" t="s">
        <v>1271</v>
      </c>
      <c r="B41" s="6" t="s">
        <v>1272</v>
      </c>
      <c r="C41" s="6" t="s">
        <v>1273</v>
      </c>
      <c r="D41" s="6"/>
      <c r="E41" s="6" t="s">
        <v>112</v>
      </c>
    </row>
    <row r="42" customFormat="false" ht="54" hidden="false" customHeight="true" outlineLevel="0" collapsed="false">
      <c r="A42" s="5" t="s">
        <v>1274</v>
      </c>
      <c r="B42" s="6" t="s">
        <v>1275</v>
      </c>
      <c r="C42" s="6" t="s">
        <v>1276</v>
      </c>
      <c r="D42" s="6"/>
      <c r="E42" s="6" t="s">
        <v>112</v>
      </c>
    </row>
    <row r="43" customFormat="false" ht="41.25" hidden="false" customHeight="true" outlineLevel="0" collapsed="false">
      <c r="A43" s="5" t="s">
        <v>1277</v>
      </c>
      <c r="B43" s="6" t="s">
        <v>1278</v>
      </c>
      <c r="C43" s="6" t="s">
        <v>1279</v>
      </c>
      <c r="D43" s="6"/>
      <c r="E43" s="6" t="s">
        <v>112</v>
      </c>
    </row>
    <row r="44" customFormat="false" ht="28.5" hidden="false" customHeight="true" outlineLevel="0" collapsed="false">
      <c r="A44" s="5" t="s">
        <v>1280</v>
      </c>
      <c r="B44" s="6" t="s">
        <v>1281</v>
      </c>
      <c r="C44" s="6" t="s">
        <v>1282</v>
      </c>
      <c r="D44" s="6"/>
      <c r="E44" s="6" t="s">
        <v>226</v>
      </c>
    </row>
    <row r="45" customFormat="false" ht="16.5" hidden="false" customHeight="true" outlineLevel="0" collapsed="false">
      <c r="A45" s="5" t="s">
        <v>1283</v>
      </c>
      <c r="B45" s="6" t="s">
        <v>1284</v>
      </c>
      <c r="C45" s="6" t="s">
        <v>1285</v>
      </c>
      <c r="D45" s="6"/>
      <c r="E45" s="6" t="s">
        <v>112</v>
      </c>
    </row>
    <row r="46" customFormat="false" ht="28.5" hidden="false" customHeight="true" outlineLevel="0" collapsed="false">
      <c r="A46" s="5" t="s">
        <v>1286</v>
      </c>
      <c r="B46" s="6" t="s">
        <v>1287</v>
      </c>
      <c r="C46" s="6" t="s">
        <v>1288</v>
      </c>
      <c r="D46" s="6"/>
      <c r="E46" s="6" t="s">
        <v>226</v>
      </c>
    </row>
    <row r="47" customFormat="false" ht="41.25" hidden="false" customHeight="true" outlineLevel="0" collapsed="false">
      <c r="A47" s="5" t="s">
        <v>1289</v>
      </c>
      <c r="B47" s="6" t="s">
        <v>1290</v>
      </c>
      <c r="C47" s="6" t="s">
        <v>1291</v>
      </c>
      <c r="D47" s="6"/>
      <c r="E47" s="6" t="s">
        <v>112</v>
      </c>
    </row>
    <row r="48" customFormat="false" ht="28.5" hidden="false" customHeight="true" outlineLevel="0" collapsed="false">
      <c r="A48" s="5" t="s">
        <v>1292</v>
      </c>
      <c r="B48" s="6" t="s">
        <v>1293</v>
      </c>
      <c r="C48" s="6" t="s">
        <v>1294</v>
      </c>
      <c r="D48" s="6"/>
      <c r="E48" s="6" t="s">
        <v>1204</v>
      </c>
    </row>
    <row r="49" customFormat="false" ht="28.5" hidden="false" customHeight="true" outlineLevel="0" collapsed="false">
      <c r="A49" s="5" t="s">
        <v>1295</v>
      </c>
      <c r="B49" s="6" t="s">
        <v>1296</v>
      </c>
      <c r="C49" s="6" t="s">
        <v>1297</v>
      </c>
      <c r="D49" s="6"/>
      <c r="E49" s="6" t="s">
        <v>1298</v>
      </c>
    </row>
    <row r="51" customFormat="false" ht="15" hidden="false" customHeight="false" outlineLevel="0" collapsed="false">
      <c r="A51" s="23" t="s">
        <v>1299</v>
      </c>
    </row>
    <row r="52" customFormat="false" ht="30" hidden="false" customHeight="true" outlineLevel="0" collapsed="false">
      <c r="A52" s="4" t="s">
        <v>1300</v>
      </c>
      <c r="B52" s="4" t="s">
        <v>1301</v>
      </c>
      <c r="C52" s="4" t="s">
        <v>1302</v>
      </c>
      <c r="D52" s="4" t="s">
        <v>1136</v>
      </c>
      <c r="E52" s="4" t="s">
        <v>1177</v>
      </c>
    </row>
    <row r="53" customFormat="false" ht="28.5" hidden="false" customHeight="true" outlineLevel="0" collapsed="false">
      <c r="A53" s="5" t="s">
        <v>1303</v>
      </c>
      <c r="B53" s="6" t="s">
        <v>1304</v>
      </c>
      <c r="C53" s="6" t="s">
        <v>1305</v>
      </c>
      <c r="D53" s="6" t="s">
        <v>1306</v>
      </c>
      <c r="E53" s="6" t="s">
        <v>112</v>
      </c>
    </row>
    <row r="54" customFormat="false" ht="28.5" hidden="false" customHeight="true" outlineLevel="0" collapsed="false">
      <c r="A54" s="5" t="s">
        <v>1307</v>
      </c>
      <c r="B54" s="6" t="s">
        <v>1308</v>
      </c>
      <c r="C54" s="6" t="s">
        <v>1309</v>
      </c>
      <c r="D54" s="6" t="s">
        <v>1310</v>
      </c>
      <c r="E54" s="6" t="s">
        <v>112</v>
      </c>
    </row>
    <row r="55" customFormat="false" ht="28.5" hidden="false" customHeight="true" outlineLevel="0" collapsed="false">
      <c r="A55" s="5" t="s">
        <v>1311</v>
      </c>
      <c r="B55" s="6" t="s">
        <v>1312</v>
      </c>
      <c r="C55" s="6" t="s">
        <v>1313</v>
      </c>
      <c r="D55" s="6" t="s">
        <v>1314</v>
      </c>
      <c r="E55" s="6" t="s">
        <v>112</v>
      </c>
    </row>
    <row r="56" customFormat="false" ht="28.5" hidden="false" customHeight="true" outlineLevel="0" collapsed="false">
      <c r="A56" s="5" t="s">
        <v>1315</v>
      </c>
      <c r="B56" s="6" t="s">
        <v>1316</v>
      </c>
      <c r="C56" s="6" t="s">
        <v>1317</v>
      </c>
      <c r="D56" s="6" t="s">
        <v>1318</v>
      </c>
      <c r="E56" s="6" t="s">
        <v>112</v>
      </c>
    </row>
    <row r="57" customFormat="false" ht="28.5" hidden="false" customHeight="true" outlineLevel="0" collapsed="false">
      <c r="A57" s="5" t="s">
        <v>1319</v>
      </c>
      <c r="B57" s="6" t="s">
        <v>1320</v>
      </c>
      <c r="C57" s="6" t="s">
        <v>1321</v>
      </c>
      <c r="D57" s="6" t="s">
        <v>1322</v>
      </c>
      <c r="E57" s="6" t="s">
        <v>112</v>
      </c>
    </row>
    <row r="59" customFormat="false" ht="15" hidden="false" customHeight="false" outlineLevel="0" collapsed="false">
      <c r="A59" s="23" t="s">
        <v>1323</v>
      </c>
    </row>
    <row r="60" customFormat="false" ht="30" hidden="false" customHeight="true" outlineLevel="0" collapsed="false">
      <c r="A60" s="4" t="s">
        <v>1324</v>
      </c>
      <c r="B60" s="4" t="s">
        <v>1325</v>
      </c>
      <c r="C60" s="4" t="s">
        <v>1326</v>
      </c>
      <c r="D60" s="4" t="s">
        <v>1327</v>
      </c>
      <c r="E60" s="4" t="s">
        <v>1328</v>
      </c>
    </row>
    <row r="61" customFormat="false" ht="28.5" hidden="false" customHeight="true" outlineLevel="0" collapsed="false">
      <c r="A61" s="5" t="s">
        <v>1329</v>
      </c>
      <c r="B61" s="6" t="s">
        <v>1304</v>
      </c>
      <c r="C61" s="6" t="s">
        <v>1330</v>
      </c>
      <c r="D61" s="6" t="s">
        <v>1038</v>
      </c>
      <c r="E61" s="6" t="s">
        <v>1331</v>
      </c>
    </row>
    <row r="62" customFormat="false" ht="28.5" hidden="false" customHeight="true" outlineLevel="0" collapsed="false">
      <c r="A62" s="5" t="s">
        <v>1332</v>
      </c>
      <c r="B62" s="6" t="s">
        <v>1333</v>
      </c>
      <c r="C62" s="6" t="s">
        <v>1330</v>
      </c>
      <c r="D62" s="6" t="s">
        <v>1038</v>
      </c>
      <c r="E62" s="6" t="s">
        <v>1334</v>
      </c>
    </row>
    <row r="63" customFormat="false" ht="28.5" hidden="false" customHeight="true" outlineLevel="0" collapsed="false">
      <c r="A63" s="5" t="s">
        <v>1335</v>
      </c>
      <c r="B63" s="6" t="s">
        <v>1336</v>
      </c>
      <c r="C63" s="6" t="s">
        <v>1330</v>
      </c>
      <c r="D63" s="6" t="s">
        <v>1038</v>
      </c>
      <c r="E63" s="6" t="s">
        <v>1337</v>
      </c>
    </row>
    <row r="64" customFormat="false" ht="28.5" hidden="false" customHeight="true" outlineLevel="0" collapsed="false">
      <c r="A64" s="5" t="s">
        <v>1338</v>
      </c>
      <c r="B64" s="6" t="s">
        <v>1339</v>
      </c>
      <c r="C64" s="6" t="s">
        <v>1340</v>
      </c>
      <c r="D64" s="6" t="s">
        <v>1341</v>
      </c>
      <c r="E64" s="6" t="s">
        <v>1342</v>
      </c>
    </row>
    <row r="65" customFormat="false" ht="28.5" hidden="false" customHeight="true" outlineLevel="0" collapsed="false">
      <c r="A65" s="5" t="s">
        <v>1343</v>
      </c>
      <c r="B65" s="6" t="s">
        <v>1333</v>
      </c>
      <c r="C65" s="6" t="s">
        <v>1344</v>
      </c>
      <c r="D65" s="6" t="s">
        <v>1038</v>
      </c>
      <c r="E65" s="6" t="s">
        <v>1345</v>
      </c>
    </row>
    <row r="66" customFormat="false" ht="28.5" hidden="false" customHeight="true" outlineLevel="0" collapsed="false">
      <c r="A66" s="5" t="s">
        <v>1346</v>
      </c>
      <c r="B66" s="6" t="s">
        <v>1347</v>
      </c>
      <c r="C66" s="6" t="s">
        <v>1330</v>
      </c>
      <c r="D66" s="6" t="s">
        <v>1348</v>
      </c>
      <c r="E66" s="6" t="s">
        <v>1349</v>
      </c>
    </row>
    <row r="67" customFormat="false" ht="28.5" hidden="false" customHeight="true" outlineLevel="0" collapsed="false">
      <c r="A67" s="5" t="s">
        <v>1350</v>
      </c>
      <c r="B67" s="6" t="s">
        <v>1347</v>
      </c>
      <c r="C67" s="6" t="s">
        <v>1330</v>
      </c>
      <c r="D67" s="6" t="s">
        <v>1351</v>
      </c>
      <c r="E67" s="6" t="s">
        <v>1352</v>
      </c>
    </row>
    <row r="68" customFormat="false" ht="28.5" hidden="false" customHeight="true" outlineLevel="0" collapsed="false">
      <c r="A68" s="5" t="s">
        <v>1353</v>
      </c>
      <c r="B68" s="6" t="s">
        <v>1320</v>
      </c>
      <c r="C68" s="6" t="s">
        <v>1354</v>
      </c>
      <c r="D68" s="6" t="s">
        <v>1355</v>
      </c>
      <c r="E68" s="6" t="s">
        <v>1356</v>
      </c>
    </row>
    <row r="69" customFormat="false" ht="28.5" hidden="false" customHeight="true" outlineLevel="0" collapsed="false">
      <c r="A69" s="5" t="s">
        <v>1357</v>
      </c>
      <c r="B69" s="6" t="s">
        <v>1358</v>
      </c>
      <c r="C69" s="6" t="s">
        <v>1340</v>
      </c>
      <c r="D69" s="6" t="s">
        <v>1359</v>
      </c>
      <c r="E69" s="6" t="s">
        <v>1360</v>
      </c>
    </row>
    <row r="71" customFormat="false" ht="15" hidden="false" customHeight="false" outlineLevel="0" collapsed="false">
      <c r="A71" s="23" t="s">
        <v>1361</v>
      </c>
    </row>
    <row r="72" customFormat="false" ht="30" hidden="false" customHeight="true" outlineLevel="0" collapsed="false">
      <c r="A72" s="4" t="s">
        <v>1362</v>
      </c>
      <c r="B72" s="4" t="s">
        <v>1363</v>
      </c>
      <c r="C72" s="4" t="s">
        <v>1153</v>
      </c>
      <c r="D72" s="4"/>
      <c r="E72" s="4" t="s">
        <v>1177</v>
      </c>
    </row>
    <row r="73" customFormat="false" ht="41.25" hidden="false" customHeight="true" outlineLevel="0" collapsed="false">
      <c r="A73" s="5" t="s">
        <v>1364</v>
      </c>
      <c r="B73" s="6" t="s">
        <v>1365</v>
      </c>
      <c r="C73" s="6" t="s">
        <v>1366</v>
      </c>
      <c r="D73" s="6"/>
      <c r="E73" s="6" t="s">
        <v>112</v>
      </c>
    </row>
    <row r="74" customFormat="false" ht="41.25" hidden="false" customHeight="true" outlineLevel="0" collapsed="false">
      <c r="A74" s="5" t="s">
        <v>1367</v>
      </c>
      <c r="B74" s="6" t="s">
        <v>1368</v>
      </c>
      <c r="C74" s="6" t="s">
        <v>1369</v>
      </c>
      <c r="D74" s="6"/>
      <c r="E74" s="6" t="s">
        <v>112</v>
      </c>
    </row>
    <row r="75" customFormat="false" ht="66" hidden="false" customHeight="true" outlineLevel="0" collapsed="false">
      <c r="A75" s="5" t="s">
        <v>1370</v>
      </c>
      <c r="B75" s="6" t="s">
        <v>1371</v>
      </c>
      <c r="C75" s="6" t="s">
        <v>1372</v>
      </c>
      <c r="D75" s="6"/>
      <c r="E75" s="6" t="s">
        <v>112</v>
      </c>
    </row>
    <row r="76" customFormat="false" ht="28.5" hidden="false" customHeight="true" outlineLevel="0" collapsed="false">
      <c r="A76" s="5" t="s">
        <v>1373</v>
      </c>
      <c r="B76" s="6" t="s">
        <v>1374</v>
      </c>
      <c r="C76" s="6" t="s">
        <v>1375</v>
      </c>
      <c r="D76" s="6"/>
      <c r="E76" s="6" t="s">
        <v>112</v>
      </c>
    </row>
    <row r="78" customFormat="false" ht="15" hidden="false" customHeight="false" outlineLevel="0" collapsed="false">
      <c r="A78" s="23" t="s">
        <v>1376</v>
      </c>
    </row>
    <row r="79" customFormat="false" ht="30" hidden="false" customHeight="true" outlineLevel="0" collapsed="false">
      <c r="A79" s="4" t="s">
        <v>1377</v>
      </c>
      <c r="B79" s="4" t="s">
        <v>1378</v>
      </c>
      <c r="C79" s="4" t="s">
        <v>1379</v>
      </c>
      <c r="D79" s="4"/>
      <c r="E79" s="4" t="s">
        <v>1177</v>
      </c>
    </row>
    <row r="80" customFormat="false" ht="66" hidden="false" customHeight="true" outlineLevel="0" collapsed="false">
      <c r="A80" s="5" t="s">
        <v>1380</v>
      </c>
      <c r="B80" s="6" t="s">
        <v>1381</v>
      </c>
      <c r="C80" s="6" t="s">
        <v>1382</v>
      </c>
      <c r="D80" s="6"/>
      <c r="E80" s="6" t="s">
        <v>1204</v>
      </c>
    </row>
    <row r="81" customFormat="false" ht="66" hidden="false" customHeight="true" outlineLevel="0" collapsed="false">
      <c r="A81" s="5" t="s">
        <v>1383</v>
      </c>
      <c r="B81" s="6" t="s">
        <v>1384</v>
      </c>
      <c r="C81" s="6" t="s">
        <v>1385</v>
      </c>
      <c r="D81" s="6"/>
      <c r="E81" s="6" t="s">
        <v>69</v>
      </c>
    </row>
    <row r="82" customFormat="false" ht="54" hidden="false" customHeight="true" outlineLevel="0" collapsed="false">
      <c r="A82" s="5" t="s">
        <v>1386</v>
      </c>
      <c r="B82" s="6" t="s">
        <v>1387</v>
      </c>
      <c r="C82" s="6" t="s">
        <v>1388</v>
      </c>
      <c r="D82" s="6"/>
      <c r="E82" s="6" t="s">
        <v>112</v>
      </c>
    </row>
    <row r="83" customFormat="false" ht="41.25" hidden="false" customHeight="true" outlineLevel="0" collapsed="false">
      <c r="A83" s="5" t="s">
        <v>1389</v>
      </c>
      <c r="B83" s="6" t="s">
        <v>1390</v>
      </c>
      <c r="C83" s="6" t="s">
        <v>1388</v>
      </c>
      <c r="D83" s="6"/>
      <c r="E83" s="6" t="s">
        <v>112</v>
      </c>
    </row>
    <row r="84" customFormat="false" ht="41.25" hidden="false" customHeight="true" outlineLevel="0" collapsed="false">
      <c r="A84" s="5" t="s">
        <v>1391</v>
      </c>
      <c r="B84" s="6" t="s">
        <v>1392</v>
      </c>
      <c r="C84" s="6" t="s">
        <v>1393</v>
      </c>
      <c r="D84" s="6"/>
      <c r="E84" s="6" t="s">
        <v>112</v>
      </c>
    </row>
    <row r="85" customFormat="false" ht="41.25" hidden="false" customHeight="true" outlineLevel="0" collapsed="false">
      <c r="A85" s="5" t="s">
        <v>1394</v>
      </c>
      <c r="B85" s="6" t="s">
        <v>1395</v>
      </c>
      <c r="C85" s="6" t="s">
        <v>1396</v>
      </c>
      <c r="D85" s="6"/>
      <c r="E85" s="6" t="s">
        <v>112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52"/>
    <col collapsed="false" customWidth="true" hidden="false" outlineLevel="0" max="4" min="4" style="0" width="8"/>
    <col collapsed="false" customWidth="true" hidden="false" outlineLevel="0" max="5" min="5" style="0" width="11"/>
    <col collapsed="false" customWidth="true" hidden="false" outlineLevel="0" max="6" min="6" style="0" width="12"/>
    <col collapsed="false" customWidth="true" hidden="false" outlineLevel="0" max="7" min="7" style="0" width="24"/>
    <col collapsed="false" customWidth="true" hidden="false" outlineLevel="0" max="8" min="8" style="0" width="11"/>
    <col collapsed="false" customWidth="true" hidden="false" outlineLevel="0" max="9" min="9" style="0" width="36"/>
    <col collapsed="false" customWidth="true" hidden="false" outlineLevel="0" max="10" min="10" style="0" width="22"/>
    <col collapsed="false" customWidth="true" hidden="false" outlineLevel="0" max="11" min="11" style="0" width="24"/>
  </cols>
  <sheetData>
    <row r="1" customFormat="false" ht="30" hidden="false" customHeight="true" outlineLevel="0" collapsed="false">
      <c r="A1" s="4" t="s">
        <v>1397</v>
      </c>
      <c r="B1" s="4" t="s">
        <v>31</v>
      </c>
      <c r="C1" s="4" t="s">
        <v>1398</v>
      </c>
      <c r="D1" s="4" t="s">
        <v>20</v>
      </c>
      <c r="E1" s="4" t="s">
        <v>1399</v>
      </c>
      <c r="F1" s="4" t="s">
        <v>1400</v>
      </c>
      <c r="G1" s="4" t="s">
        <v>1401</v>
      </c>
      <c r="H1" s="4" t="s">
        <v>1402</v>
      </c>
      <c r="I1" s="4" t="s">
        <v>1403</v>
      </c>
      <c r="J1" s="4" t="s">
        <v>1404</v>
      </c>
      <c r="K1" s="4" t="s">
        <v>1405</v>
      </c>
    </row>
    <row r="2" customFormat="false" ht="28.5" hidden="false" customHeight="true" outlineLevel="0" collapsed="false">
      <c r="A2" s="5" t="s">
        <v>55</v>
      </c>
      <c r="B2" s="6" t="s">
        <v>52</v>
      </c>
      <c r="C2" s="6" t="s">
        <v>1406</v>
      </c>
      <c r="D2" s="7" t="s">
        <v>59</v>
      </c>
      <c r="E2" s="6" t="s">
        <v>56</v>
      </c>
      <c r="F2" s="6" t="s">
        <v>1407</v>
      </c>
      <c r="G2" s="6" t="s">
        <v>1408</v>
      </c>
      <c r="H2" s="7" t="n">
        <f aca="false">COUNTIF(Test_Cases!$E$2:$E$200,"*"&amp;A2&amp;"*")</f>
        <v>2</v>
      </c>
      <c r="I2" s="6" t="s">
        <v>1409</v>
      </c>
      <c r="J2" s="6" t="s">
        <v>1410</v>
      </c>
      <c r="K2" s="6" t="str">
        <f aca="false">IF(H2&gt;0,"Covered",IF(J2="Test cases","GAP - add test","Addressed outside test cases"))</f>
        <v>Covered</v>
      </c>
    </row>
    <row r="3" customFormat="false" ht="28.5" hidden="false" customHeight="true" outlineLevel="0" collapsed="false">
      <c r="A3" s="10" t="s">
        <v>126</v>
      </c>
      <c r="B3" s="11" t="s">
        <v>52</v>
      </c>
      <c r="C3" s="11" t="s">
        <v>1411</v>
      </c>
      <c r="D3" s="12" t="s">
        <v>103</v>
      </c>
      <c r="E3" s="11" t="s">
        <v>127</v>
      </c>
      <c r="F3" s="11" t="s">
        <v>1412</v>
      </c>
      <c r="G3" s="11" t="s">
        <v>124</v>
      </c>
      <c r="H3" s="12" t="n">
        <f aca="false">COUNTIF(Test_Cases!$E$2:$E$200,"*"&amp;A3&amp;"*")</f>
        <v>2</v>
      </c>
      <c r="I3" s="11" t="s">
        <v>1413</v>
      </c>
      <c r="J3" s="11" t="s">
        <v>1410</v>
      </c>
      <c r="K3" s="11" t="str">
        <f aca="false">IF(H3&gt;0,"Covered",IF(J3="Test cases","GAP - add test","Addressed outside test cases"))</f>
        <v>Covered</v>
      </c>
    </row>
    <row r="4" customFormat="false" ht="28.5" hidden="false" customHeight="true" outlineLevel="0" collapsed="false">
      <c r="A4" s="5" t="s">
        <v>141</v>
      </c>
      <c r="B4" s="6" t="s">
        <v>52</v>
      </c>
      <c r="C4" s="6" t="s">
        <v>1414</v>
      </c>
      <c r="D4" s="7" t="s">
        <v>103</v>
      </c>
      <c r="E4" s="6"/>
      <c r="F4" s="6" t="s">
        <v>1412</v>
      </c>
      <c r="G4" s="6" t="s">
        <v>139</v>
      </c>
      <c r="H4" s="7" t="n">
        <f aca="false">COUNTIF(Test_Cases!$E$2:$E$200,"*"&amp;A4&amp;"*")</f>
        <v>1</v>
      </c>
      <c r="I4" s="6" t="s">
        <v>138</v>
      </c>
      <c r="J4" s="6" t="s">
        <v>1410</v>
      </c>
      <c r="K4" s="6" t="str">
        <f aca="false">IF(H4&gt;0,"Covered",IF(J4="Test cases","GAP - add test","Addressed outside test cases"))</f>
        <v>Covered</v>
      </c>
    </row>
    <row r="5" customFormat="false" ht="28.5" hidden="false" customHeight="true" outlineLevel="0" collapsed="false">
      <c r="A5" s="10" t="s">
        <v>156</v>
      </c>
      <c r="B5" s="11" t="s">
        <v>52</v>
      </c>
      <c r="C5" s="11" t="s">
        <v>1415</v>
      </c>
      <c r="D5" s="12" t="s">
        <v>103</v>
      </c>
      <c r="E5" s="11" t="s">
        <v>157</v>
      </c>
      <c r="F5" s="11" t="s">
        <v>1407</v>
      </c>
      <c r="G5" s="11" t="s">
        <v>154</v>
      </c>
      <c r="H5" s="12" t="n">
        <f aca="false">COUNTIF(Test_Cases!$E$2:$E$200,"*"&amp;A5&amp;"*")</f>
        <v>1</v>
      </c>
      <c r="I5" s="11" t="s">
        <v>153</v>
      </c>
      <c r="J5" s="11" t="s">
        <v>1410</v>
      </c>
      <c r="K5" s="11" t="str">
        <f aca="false">IF(H5&gt;0,"Covered",IF(J5="Test cases","GAP - add test","Addressed outside test cases"))</f>
        <v>Covered</v>
      </c>
    </row>
    <row r="6" customFormat="false" ht="28.5" hidden="false" customHeight="true" outlineLevel="0" collapsed="false">
      <c r="A6" s="5" t="s">
        <v>75</v>
      </c>
      <c r="B6" s="6" t="s">
        <v>52</v>
      </c>
      <c r="C6" s="6" t="s">
        <v>1416</v>
      </c>
      <c r="D6" s="7" t="s">
        <v>89</v>
      </c>
      <c r="E6" s="6"/>
      <c r="F6" s="6" t="s">
        <v>57</v>
      </c>
      <c r="G6" s="6" t="s">
        <v>1417</v>
      </c>
      <c r="H6" s="7" t="n">
        <f aca="false">COUNTIF(Test_Cases!$E$2:$E$200,"*"&amp;A6&amp;"*")</f>
        <v>2</v>
      </c>
      <c r="I6" s="6" t="s">
        <v>1418</v>
      </c>
      <c r="J6" s="6" t="s">
        <v>1410</v>
      </c>
      <c r="K6" s="6" t="str">
        <f aca="false">IF(H6&gt;0,"Covered",IF(J6="Test cases","GAP - add test","Addressed outside test cases"))</f>
        <v>Covered</v>
      </c>
    </row>
    <row r="7" customFormat="false" ht="28.5" hidden="false" customHeight="true" outlineLevel="0" collapsed="false">
      <c r="A7" s="10" t="s">
        <v>101</v>
      </c>
      <c r="B7" s="11" t="s">
        <v>52</v>
      </c>
      <c r="C7" s="11" t="s">
        <v>1419</v>
      </c>
      <c r="D7" s="12" t="s">
        <v>103</v>
      </c>
      <c r="E7" s="11"/>
      <c r="F7" s="11" t="s">
        <v>1407</v>
      </c>
      <c r="G7" s="11" t="s">
        <v>1420</v>
      </c>
      <c r="H7" s="12" t="n">
        <f aca="false">COUNTIF(Test_Cases!$E$2:$E$200,"*"&amp;A7&amp;"*")</f>
        <v>3</v>
      </c>
      <c r="I7" s="11" t="s">
        <v>1421</v>
      </c>
      <c r="J7" s="11" t="s">
        <v>1410</v>
      </c>
      <c r="K7" s="11" t="str">
        <f aca="false">IF(H7&gt;0,"Covered",IF(J7="Test cases","GAP - add test","Addressed outside test cases"))</f>
        <v>Covered</v>
      </c>
    </row>
    <row r="8" customFormat="false" ht="28.5" hidden="false" customHeight="true" outlineLevel="0" collapsed="false">
      <c r="A8" s="5" t="s">
        <v>1422</v>
      </c>
      <c r="B8" s="6" t="s">
        <v>52</v>
      </c>
      <c r="C8" s="6" t="s">
        <v>1423</v>
      </c>
      <c r="D8" s="7" t="s">
        <v>89</v>
      </c>
      <c r="E8" s="6"/>
      <c r="F8" s="6" t="s">
        <v>57</v>
      </c>
      <c r="G8" s="6" t="s">
        <v>1424</v>
      </c>
      <c r="H8" s="7" t="n">
        <f aca="false">COUNTIF(Test_Cases!$E$2:$E$200,"*"&amp;A8&amp;"*")</f>
        <v>0</v>
      </c>
      <c r="I8" s="6"/>
      <c r="J8" s="6" t="s">
        <v>1425</v>
      </c>
      <c r="K8" s="6" t="str">
        <f aca="false">IF(H8&gt;0,"Covered",IF(J8="Test cases","GAP - add test","Addressed outside test cases"))</f>
        <v>Addressed outside test cases</v>
      </c>
    </row>
    <row r="9" customFormat="false" ht="28.5" hidden="false" customHeight="true" outlineLevel="0" collapsed="false">
      <c r="A9" s="10" t="s">
        <v>182</v>
      </c>
      <c r="B9" s="11" t="s">
        <v>1426</v>
      </c>
      <c r="C9" s="11" t="s">
        <v>1427</v>
      </c>
      <c r="D9" s="12" t="s">
        <v>103</v>
      </c>
      <c r="E9" s="11"/>
      <c r="F9" s="11" t="s">
        <v>1412</v>
      </c>
      <c r="G9" s="11" t="s">
        <v>1011</v>
      </c>
      <c r="H9" s="12" t="n">
        <f aca="false">COUNTIF(Test_Cases!$E$2:$E$200,"*"&amp;A9&amp;"*")</f>
        <v>2</v>
      </c>
      <c r="I9" s="11" t="s">
        <v>1428</v>
      </c>
      <c r="J9" s="11" t="s">
        <v>1410</v>
      </c>
      <c r="K9" s="11" t="str">
        <f aca="false">IF(H9&gt;0,"Covered",IF(J9="Test cases","GAP - add test","Addressed outside test cases"))</f>
        <v>Covered</v>
      </c>
    </row>
    <row r="10" customFormat="false" ht="28.5" hidden="false" customHeight="true" outlineLevel="0" collapsed="false">
      <c r="A10" s="5" t="s">
        <v>230</v>
      </c>
      <c r="B10" s="6" t="s">
        <v>1426</v>
      </c>
      <c r="C10" s="6" t="s">
        <v>1429</v>
      </c>
      <c r="D10" s="7" t="s">
        <v>59</v>
      </c>
      <c r="E10" s="6" t="s">
        <v>231</v>
      </c>
      <c r="F10" s="6" t="s">
        <v>1412</v>
      </c>
      <c r="G10" s="6" t="s">
        <v>1430</v>
      </c>
      <c r="H10" s="7" t="n">
        <f aca="false">COUNTIF(Test_Cases!$E$2:$E$200,"*"&amp;A10&amp;"*")</f>
        <v>4</v>
      </c>
      <c r="I10" s="6" t="s">
        <v>1431</v>
      </c>
      <c r="J10" s="6" t="s">
        <v>1410</v>
      </c>
      <c r="K10" s="6" t="str">
        <f aca="false">IF(H10&gt;0,"Covered",IF(J10="Test cases","GAP - add test","Addressed outside test cases"))</f>
        <v>Covered</v>
      </c>
    </row>
    <row r="11" customFormat="false" ht="16.5" hidden="false" customHeight="true" outlineLevel="0" collapsed="false">
      <c r="A11" s="10" t="s">
        <v>206</v>
      </c>
      <c r="B11" s="11" t="s">
        <v>1426</v>
      </c>
      <c r="C11" s="11" t="s">
        <v>1432</v>
      </c>
      <c r="D11" s="12" t="s">
        <v>103</v>
      </c>
      <c r="E11" s="11" t="s">
        <v>207</v>
      </c>
      <c r="F11" s="11" t="s">
        <v>1433</v>
      </c>
      <c r="G11" s="11" t="s">
        <v>204</v>
      </c>
      <c r="H11" s="12" t="n">
        <f aca="false">COUNTIF(Test_Cases!$E$2:$E$200,"*"&amp;A11&amp;"*")</f>
        <v>1</v>
      </c>
      <c r="I11" s="11" t="s">
        <v>203</v>
      </c>
      <c r="J11" s="11" t="s">
        <v>1410</v>
      </c>
      <c r="K11" s="11" t="str">
        <f aca="false">IF(H11&gt;0,"Covered",IF(J11="Test cases","GAP - add test","Addressed outside test cases"))</f>
        <v>Covered</v>
      </c>
    </row>
    <row r="12" customFormat="false" ht="28.5" hidden="false" customHeight="true" outlineLevel="0" collapsed="false">
      <c r="A12" s="5" t="s">
        <v>170</v>
      </c>
      <c r="B12" s="6" t="s">
        <v>1426</v>
      </c>
      <c r="C12" s="6" t="s">
        <v>1434</v>
      </c>
      <c r="D12" s="7" t="s">
        <v>89</v>
      </c>
      <c r="E12" s="6"/>
      <c r="F12" s="6" t="s">
        <v>57</v>
      </c>
      <c r="G12" s="6" t="s">
        <v>1435</v>
      </c>
      <c r="H12" s="7" t="n">
        <f aca="false">COUNTIF(Test_Cases!$E$2:$E$200,"*"&amp;A12&amp;"*")</f>
        <v>3</v>
      </c>
      <c r="I12" s="6" t="s">
        <v>1436</v>
      </c>
      <c r="J12" s="6" t="s">
        <v>1410</v>
      </c>
      <c r="K12" s="6" t="str">
        <f aca="false">IF(H12&gt;0,"Covered",IF(J12="Test cases","GAP - add test","Addressed outside test cases"))</f>
        <v>Covered</v>
      </c>
    </row>
    <row r="13" customFormat="false" ht="28.5" hidden="false" customHeight="true" outlineLevel="0" collapsed="false">
      <c r="A13" s="10" t="s">
        <v>269</v>
      </c>
      <c r="B13" s="11" t="s">
        <v>1437</v>
      </c>
      <c r="C13" s="11" t="s">
        <v>1438</v>
      </c>
      <c r="D13" s="12" t="s">
        <v>59</v>
      </c>
      <c r="E13" s="11" t="s">
        <v>270</v>
      </c>
      <c r="F13" s="11" t="s">
        <v>1407</v>
      </c>
      <c r="G13" s="11" t="s">
        <v>1439</v>
      </c>
      <c r="H13" s="12" t="n">
        <f aca="false">COUNTIF(Test_Cases!$E$2:$E$200,"*"&amp;A13&amp;"*")</f>
        <v>4</v>
      </c>
      <c r="I13" s="11" t="s">
        <v>1440</v>
      </c>
      <c r="J13" s="11" t="s">
        <v>1410</v>
      </c>
      <c r="K13" s="11" t="str">
        <f aca="false">IF(H13&gt;0,"Covered",IF(J13="Test cases","GAP - add test","Addressed outside test cases"))</f>
        <v>Covered</v>
      </c>
    </row>
    <row r="14" customFormat="false" ht="28.5" hidden="false" customHeight="true" outlineLevel="0" collapsed="false">
      <c r="A14" s="5" t="s">
        <v>289</v>
      </c>
      <c r="B14" s="6" t="s">
        <v>1437</v>
      </c>
      <c r="C14" s="6" t="s">
        <v>1441</v>
      </c>
      <c r="D14" s="7" t="s">
        <v>103</v>
      </c>
      <c r="E14" s="6" t="s">
        <v>290</v>
      </c>
      <c r="F14" s="6" t="s">
        <v>1412</v>
      </c>
      <c r="G14" s="6" t="s">
        <v>1061</v>
      </c>
      <c r="H14" s="7" t="n">
        <f aca="false">COUNTIF(Test_Cases!$E$2:$E$200,"*"&amp;A14&amp;"*")</f>
        <v>2</v>
      </c>
      <c r="I14" s="6" t="s">
        <v>1442</v>
      </c>
      <c r="J14" s="6" t="s">
        <v>1410</v>
      </c>
      <c r="K14" s="6" t="str">
        <f aca="false">IF(H14&gt;0,"Covered",IF(J14="Test cases","GAP - add test","Addressed outside test cases"))</f>
        <v>Covered</v>
      </c>
    </row>
    <row r="15" customFormat="false" ht="16.5" hidden="false" customHeight="true" outlineLevel="0" collapsed="false">
      <c r="A15" s="10" t="s">
        <v>257</v>
      </c>
      <c r="B15" s="11" t="s">
        <v>1437</v>
      </c>
      <c r="C15" s="11" t="s">
        <v>1443</v>
      </c>
      <c r="D15" s="12" t="s">
        <v>89</v>
      </c>
      <c r="E15" s="11"/>
      <c r="F15" s="11" t="s">
        <v>1407</v>
      </c>
      <c r="G15" s="11" t="s">
        <v>255</v>
      </c>
      <c r="H15" s="12" t="n">
        <f aca="false">COUNTIF(Test_Cases!$E$2:$E$200,"*"&amp;A15&amp;"*")</f>
        <v>3</v>
      </c>
      <c r="I15" s="11" t="s">
        <v>1444</v>
      </c>
      <c r="J15" s="11" t="s">
        <v>1410</v>
      </c>
      <c r="K15" s="11" t="str">
        <f aca="false">IF(H15&gt;0,"Covered",IF(J15="Test cases","GAP - add test","Addressed outside test cases"))</f>
        <v>Covered</v>
      </c>
    </row>
    <row r="16" customFormat="false" ht="28.5" hidden="false" customHeight="true" outlineLevel="0" collapsed="false">
      <c r="A16" s="5" t="s">
        <v>310</v>
      </c>
      <c r="B16" s="6" t="s">
        <v>1437</v>
      </c>
      <c r="C16" s="6" t="s">
        <v>1445</v>
      </c>
      <c r="D16" s="7" t="s">
        <v>89</v>
      </c>
      <c r="E16" s="6"/>
      <c r="F16" s="6" t="s">
        <v>57</v>
      </c>
      <c r="G16" s="6" t="s">
        <v>308</v>
      </c>
      <c r="H16" s="7" t="n">
        <f aca="false">COUNTIF(Test_Cases!$E$2:$E$200,"*"&amp;A16&amp;"*")</f>
        <v>1</v>
      </c>
      <c r="I16" s="6" t="s">
        <v>307</v>
      </c>
      <c r="J16" s="6" t="s">
        <v>1410</v>
      </c>
      <c r="K16" s="6" t="str">
        <f aca="false">IF(H16&gt;0,"Covered",IF(J16="Test cases","GAP - add test","Addressed outside test cases"))</f>
        <v>Covered</v>
      </c>
    </row>
    <row r="17" customFormat="false" ht="28.5" hidden="false" customHeight="true" outlineLevel="0" collapsed="false">
      <c r="A17" s="10" t="s">
        <v>1446</v>
      </c>
      <c r="B17" s="11" t="s">
        <v>1437</v>
      </c>
      <c r="C17" s="11" t="s">
        <v>1447</v>
      </c>
      <c r="D17" s="12" t="s">
        <v>103</v>
      </c>
      <c r="E17" s="11"/>
      <c r="F17" s="11" t="s">
        <v>1412</v>
      </c>
      <c r="G17" s="11" t="s">
        <v>1448</v>
      </c>
      <c r="H17" s="12" t="n">
        <f aca="false">COUNTIF(Test_Cases!$E$2:$E$200,"*"&amp;A17&amp;"*")</f>
        <v>1</v>
      </c>
      <c r="I17" s="11" t="s">
        <v>241</v>
      </c>
      <c r="J17" s="11" t="s">
        <v>1410</v>
      </c>
      <c r="K17" s="11" t="str">
        <f aca="false">IF(H17&gt;0,"Covered",IF(J17="Test cases","GAP - add test","Addressed outside test cases"))</f>
        <v>Covered</v>
      </c>
    </row>
    <row r="18" customFormat="false" ht="28.5" hidden="false" customHeight="true" outlineLevel="0" collapsed="false">
      <c r="A18" s="5" t="s">
        <v>331</v>
      </c>
      <c r="B18" s="6" t="s">
        <v>328</v>
      </c>
      <c r="C18" s="6" t="s">
        <v>1449</v>
      </c>
      <c r="D18" s="7" t="s">
        <v>89</v>
      </c>
      <c r="E18" s="6"/>
      <c r="F18" s="6" t="s">
        <v>57</v>
      </c>
      <c r="G18" s="6" t="s">
        <v>329</v>
      </c>
      <c r="H18" s="7" t="n">
        <f aca="false">COUNTIF(Test_Cases!$E$2:$E$200,"*"&amp;A18&amp;"*")</f>
        <v>1</v>
      </c>
      <c r="I18" s="6" t="s">
        <v>327</v>
      </c>
      <c r="J18" s="6" t="s">
        <v>1410</v>
      </c>
      <c r="K18" s="6" t="str">
        <f aca="false">IF(H18&gt;0,"Covered",IF(J18="Test cases","GAP - add test","Addressed outside test cases"))</f>
        <v>Covered</v>
      </c>
    </row>
    <row r="19" customFormat="false" ht="16.5" hidden="false" customHeight="true" outlineLevel="0" collapsed="false">
      <c r="A19" s="10" t="s">
        <v>344</v>
      </c>
      <c r="B19" s="11" t="s">
        <v>328</v>
      </c>
      <c r="C19" s="11" t="s">
        <v>1450</v>
      </c>
      <c r="D19" s="12" t="s">
        <v>89</v>
      </c>
      <c r="E19" s="11"/>
      <c r="F19" s="11" t="s">
        <v>1407</v>
      </c>
      <c r="G19" s="11" t="s">
        <v>1451</v>
      </c>
      <c r="H19" s="12" t="n">
        <f aca="false">COUNTIF(Test_Cases!$E$2:$E$200,"*"&amp;A19&amp;"*")</f>
        <v>3</v>
      </c>
      <c r="I19" s="11" t="s">
        <v>1452</v>
      </c>
      <c r="J19" s="11" t="s">
        <v>1410</v>
      </c>
      <c r="K19" s="11" t="str">
        <f aca="false">IF(H19&gt;0,"Covered",IF(J19="Test cases","GAP - add test","Addressed outside test cases"))</f>
        <v>Covered</v>
      </c>
    </row>
    <row r="20" customFormat="false" ht="28.5" hidden="false" customHeight="true" outlineLevel="0" collapsed="false">
      <c r="A20" s="5" t="s">
        <v>369</v>
      </c>
      <c r="B20" s="6" t="s">
        <v>328</v>
      </c>
      <c r="C20" s="6" t="s">
        <v>1453</v>
      </c>
      <c r="D20" s="7" t="s">
        <v>89</v>
      </c>
      <c r="E20" s="6"/>
      <c r="F20" s="6" t="s">
        <v>57</v>
      </c>
      <c r="G20" s="6" t="s">
        <v>1454</v>
      </c>
      <c r="H20" s="7" t="n">
        <f aca="false">COUNTIF(Test_Cases!$E$2:$E$200,"*"&amp;A20&amp;"*")</f>
        <v>2</v>
      </c>
      <c r="I20" s="6" t="s">
        <v>1455</v>
      </c>
      <c r="J20" s="6" t="s">
        <v>1410</v>
      </c>
      <c r="K20" s="6" t="str">
        <f aca="false">IF(H20&gt;0,"Covered",IF(J20="Test cases","GAP - add test","Addressed outside test cases"))</f>
        <v>Covered</v>
      </c>
    </row>
    <row r="21" customFormat="false" ht="28.5" hidden="false" customHeight="true" outlineLevel="0" collapsed="false">
      <c r="A21" s="10" t="s">
        <v>387</v>
      </c>
      <c r="B21" s="11" t="s">
        <v>1456</v>
      </c>
      <c r="C21" s="11" t="s">
        <v>1457</v>
      </c>
      <c r="D21" s="12" t="s">
        <v>59</v>
      </c>
      <c r="E21" s="11" t="s">
        <v>388</v>
      </c>
      <c r="F21" s="11" t="s">
        <v>1412</v>
      </c>
      <c r="G21" s="11" t="s">
        <v>385</v>
      </c>
      <c r="H21" s="12" t="n">
        <f aca="false">COUNTIF(Test_Cases!$E$2:$E$200,"*"&amp;A21&amp;"*")</f>
        <v>1</v>
      </c>
      <c r="I21" s="11" t="s">
        <v>383</v>
      </c>
      <c r="J21" s="11" t="s">
        <v>1410</v>
      </c>
      <c r="K21" s="11" t="str">
        <f aca="false">IF(H21&gt;0,"Covered",IF(J21="Test cases","GAP - add test","Addressed outside test cases"))</f>
        <v>Covered</v>
      </c>
    </row>
    <row r="22" customFormat="false" ht="28.5" hidden="false" customHeight="true" outlineLevel="0" collapsed="false">
      <c r="A22" s="5" t="s">
        <v>752</v>
      </c>
      <c r="B22" s="6" t="s">
        <v>1456</v>
      </c>
      <c r="C22" s="6" t="s">
        <v>1458</v>
      </c>
      <c r="D22" s="7" t="s">
        <v>59</v>
      </c>
      <c r="E22" s="6" t="s">
        <v>753</v>
      </c>
      <c r="F22" s="6" t="s">
        <v>1407</v>
      </c>
      <c r="G22" s="6" t="s">
        <v>1459</v>
      </c>
      <c r="H22" s="7" t="n">
        <f aca="false">COUNTIF(Test_Cases!$E$2:$E$200,"*"&amp;A22&amp;"*")</f>
        <v>2</v>
      </c>
      <c r="I22" s="6" t="s">
        <v>1460</v>
      </c>
      <c r="J22" s="6" t="s">
        <v>1410</v>
      </c>
      <c r="K22" s="6" t="str">
        <f aca="false">IF(H22&gt;0,"Covered",IF(J22="Test cases","GAP - add test","Addressed outside test cases"))</f>
        <v>Covered</v>
      </c>
    </row>
    <row r="23" customFormat="false" ht="16.5" hidden="false" customHeight="true" outlineLevel="0" collapsed="false">
      <c r="A23" s="10" t="s">
        <v>427</v>
      </c>
      <c r="B23" s="11" t="s">
        <v>1456</v>
      </c>
      <c r="C23" s="11" t="s">
        <v>1461</v>
      </c>
      <c r="D23" s="12" t="s">
        <v>59</v>
      </c>
      <c r="E23" s="11" t="s">
        <v>428</v>
      </c>
      <c r="F23" s="11" t="s">
        <v>1407</v>
      </c>
      <c r="G23" s="11" t="s">
        <v>425</v>
      </c>
      <c r="H23" s="12" t="n">
        <f aca="false">COUNTIF(Test_Cases!$E$2:$E$200,"*"&amp;A23&amp;"*")</f>
        <v>1</v>
      </c>
      <c r="I23" s="11" t="s">
        <v>424</v>
      </c>
      <c r="J23" s="11" t="s">
        <v>1410</v>
      </c>
      <c r="K23" s="11" t="str">
        <f aca="false">IF(H23&gt;0,"Covered",IF(J23="Test cases","GAP - add test","Addressed outside test cases"))</f>
        <v>Covered</v>
      </c>
    </row>
    <row r="24" customFormat="false" ht="16.5" hidden="false" customHeight="true" outlineLevel="0" collapsed="false">
      <c r="A24" s="5" t="s">
        <v>442</v>
      </c>
      <c r="B24" s="6" t="s">
        <v>1456</v>
      </c>
      <c r="C24" s="6" t="s">
        <v>1462</v>
      </c>
      <c r="D24" s="7" t="s">
        <v>89</v>
      </c>
      <c r="E24" s="6"/>
      <c r="F24" s="6" t="s">
        <v>1407</v>
      </c>
      <c r="G24" s="6" t="s">
        <v>440</v>
      </c>
      <c r="H24" s="7" t="n">
        <f aca="false">COUNTIF(Test_Cases!$E$2:$E$200,"*"&amp;A24&amp;"*")</f>
        <v>1</v>
      </c>
      <c r="I24" s="6" t="s">
        <v>439</v>
      </c>
      <c r="J24" s="6" t="s">
        <v>1410</v>
      </c>
      <c r="K24" s="6" t="str">
        <f aca="false">IF(H24&gt;0,"Covered",IF(J24="Test cases","GAP - add test","Addressed outside test cases"))</f>
        <v>Covered</v>
      </c>
    </row>
    <row r="25" customFormat="false" ht="28.5" hidden="false" customHeight="true" outlineLevel="0" collapsed="false">
      <c r="A25" s="10" t="s">
        <v>415</v>
      </c>
      <c r="B25" s="11" t="s">
        <v>1456</v>
      </c>
      <c r="C25" s="11" t="s">
        <v>1463</v>
      </c>
      <c r="D25" s="12" t="s">
        <v>103</v>
      </c>
      <c r="E25" s="11"/>
      <c r="F25" s="11" t="s">
        <v>1412</v>
      </c>
      <c r="G25" s="11" t="s">
        <v>1464</v>
      </c>
      <c r="H25" s="12" t="n">
        <f aca="false">COUNTIF(Test_Cases!$E$2:$E$200,"*"&amp;A25&amp;"*")</f>
        <v>2</v>
      </c>
      <c r="I25" s="11" t="s">
        <v>1465</v>
      </c>
      <c r="J25" s="11" t="s">
        <v>1410</v>
      </c>
      <c r="K25" s="11" t="str">
        <f aca="false">IF(H25&gt;0,"Covered",IF(J25="Test cases","GAP - add test","Addressed outside test cases"))</f>
        <v>Covered</v>
      </c>
    </row>
    <row r="26" customFormat="false" ht="28.5" hidden="false" customHeight="true" outlineLevel="0" collapsed="false">
      <c r="A26" s="5" t="s">
        <v>533</v>
      </c>
      <c r="B26" s="6" t="s">
        <v>1466</v>
      </c>
      <c r="C26" s="6" t="s">
        <v>1467</v>
      </c>
      <c r="D26" s="7" t="s">
        <v>59</v>
      </c>
      <c r="E26" s="6" t="s">
        <v>534</v>
      </c>
      <c r="F26" s="6" t="s">
        <v>1407</v>
      </c>
      <c r="G26" s="6" t="s">
        <v>531</v>
      </c>
      <c r="H26" s="7" t="n">
        <f aca="false">COUNTIF(Test_Cases!$E$2:$E$200,"*"&amp;A26&amp;"*")</f>
        <v>1</v>
      </c>
      <c r="I26" s="6" t="s">
        <v>530</v>
      </c>
      <c r="J26" s="6" t="s">
        <v>1410</v>
      </c>
      <c r="K26" s="6" t="str">
        <f aca="false">IF(H26&gt;0,"Covered",IF(J26="Test cases","GAP - add test","Addressed outside test cases"))</f>
        <v>Covered</v>
      </c>
    </row>
    <row r="27" customFormat="false" ht="16.5" hidden="false" customHeight="true" outlineLevel="0" collapsed="false">
      <c r="A27" s="10" t="s">
        <v>490</v>
      </c>
      <c r="B27" s="11" t="s">
        <v>1466</v>
      </c>
      <c r="C27" s="11" t="s">
        <v>1468</v>
      </c>
      <c r="D27" s="12" t="s">
        <v>103</v>
      </c>
      <c r="E27" s="11"/>
      <c r="F27" s="11" t="s">
        <v>1407</v>
      </c>
      <c r="G27" s="11" t="s">
        <v>1469</v>
      </c>
      <c r="H27" s="12" t="n">
        <f aca="false">COUNTIF(Test_Cases!$E$2:$E$200,"*"&amp;A27&amp;"*")</f>
        <v>2</v>
      </c>
      <c r="I27" s="11" t="s">
        <v>1470</v>
      </c>
      <c r="J27" s="11" t="s">
        <v>1410</v>
      </c>
      <c r="K27" s="11" t="str">
        <f aca="false">IF(H27&gt;0,"Covered",IF(J27="Test cases","GAP - add test","Addressed outside test cases"))</f>
        <v>Covered</v>
      </c>
    </row>
    <row r="28" customFormat="false" ht="28.5" hidden="false" customHeight="true" outlineLevel="0" collapsed="false">
      <c r="A28" s="5" t="s">
        <v>508</v>
      </c>
      <c r="B28" s="6" t="s">
        <v>1466</v>
      </c>
      <c r="C28" s="6" t="s">
        <v>1471</v>
      </c>
      <c r="D28" s="7" t="s">
        <v>59</v>
      </c>
      <c r="E28" s="6" t="s">
        <v>509</v>
      </c>
      <c r="F28" s="6" t="s">
        <v>1407</v>
      </c>
      <c r="G28" s="6" t="s">
        <v>506</v>
      </c>
      <c r="H28" s="7" t="n">
        <f aca="false">COUNTIF(Test_Cases!$E$2:$E$200,"*"&amp;A28&amp;"*")</f>
        <v>1</v>
      </c>
      <c r="I28" s="6" t="s">
        <v>505</v>
      </c>
      <c r="J28" s="6" t="s">
        <v>1410</v>
      </c>
      <c r="K28" s="6" t="str">
        <f aca="false">IF(H28&gt;0,"Covered",IF(J28="Test cases","GAP - add test","Addressed outside test cases"))</f>
        <v>Covered</v>
      </c>
    </row>
    <row r="29" customFormat="false" ht="28.5" hidden="false" customHeight="true" outlineLevel="0" collapsed="false">
      <c r="A29" s="10" t="s">
        <v>521</v>
      </c>
      <c r="B29" s="11" t="s">
        <v>1466</v>
      </c>
      <c r="C29" s="11" t="s">
        <v>1472</v>
      </c>
      <c r="D29" s="12" t="s">
        <v>103</v>
      </c>
      <c r="E29" s="11" t="s">
        <v>509</v>
      </c>
      <c r="F29" s="11" t="s">
        <v>1412</v>
      </c>
      <c r="G29" s="11" t="s">
        <v>519</v>
      </c>
      <c r="H29" s="12" t="n">
        <f aca="false">COUNTIF(Test_Cases!$E$2:$E$200,"*"&amp;A29&amp;"*")</f>
        <v>1</v>
      </c>
      <c r="I29" s="11" t="s">
        <v>518</v>
      </c>
      <c r="J29" s="11" t="s">
        <v>1410</v>
      </c>
      <c r="K29" s="11" t="str">
        <f aca="false">IF(H29&gt;0,"Covered",IF(J29="Test cases","GAP - add test","Addressed outside test cases"))</f>
        <v>Covered</v>
      </c>
    </row>
    <row r="30" customFormat="false" ht="28.5" hidden="false" customHeight="true" outlineLevel="0" collapsed="false">
      <c r="A30" s="5" t="s">
        <v>464</v>
      </c>
      <c r="B30" s="6" t="s">
        <v>1466</v>
      </c>
      <c r="C30" s="6" t="s">
        <v>1473</v>
      </c>
      <c r="D30" s="7" t="s">
        <v>89</v>
      </c>
      <c r="E30" s="6"/>
      <c r="F30" s="6" t="s">
        <v>1407</v>
      </c>
      <c r="G30" s="6" t="s">
        <v>1474</v>
      </c>
      <c r="H30" s="7" t="n">
        <f aca="false">COUNTIF(Test_Cases!$E$2:$E$200,"*"&amp;A30&amp;"*")</f>
        <v>4</v>
      </c>
      <c r="I30" s="6" t="s">
        <v>1475</v>
      </c>
      <c r="J30" s="6" t="s">
        <v>1410</v>
      </c>
      <c r="K30" s="6" t="str">
        <f aca="false">IF(H30&gt;0,"Covered",IF(J30="Test cases","GAP - add test","Addressed outside test cases"))</f>
        <v>Covered</v>
      </c>
    </row>
    <row r="31" customFormat="false" ht="28.5" hidden="false" customHeight="true" outlineLevel="0" collapsed="false">
      <c r="A31" s="10" t="s">
        <v>1476</v>
      </c>
      <c r="B31" s="11" t="s">
        <v>1466</v>
      </c>
      <c r="C31" s="11" t="s">
        <v>1477</v>
      </c>
      <c r="D31" s="12" t="s">
        <v>89</v>
      </c>
      <c r="E31" s="11"/>
      <c r="F31" s="11" t="s">
        <v>1407</v>
      </c>
      <c r="G31" s="11" t="s">
        <v>1478</v>
      </c>
      <c r="H31" s="12" t="n">
        <f aca="false">COUNTIF(Test_Cases!$E$2:$E$200,"*"&amp;A31&amp;"*")</f>
        <v>1</v>
      </c>
      <c r="I31" s="11" t="s">
        <v>474</v>
      </c>
      <c r="J31" s="11" t="s">
        <v>1410</v>
      </c>
      <c r="K31" s="11" t="str">
        <f aca="false">IF(H31&gt;0,"Covered",IF(J31="Test cases","GAP - add test","Addressed outside test cases"))</f>
        <v>Covered</v>
      </c>
    </row>
    <row r="32" customFormat="false" ht="28.5" hidden="false" customHeight="true" outlineLevel="0" collapsed="false">
      <c r="A32" s="5" t="s">
        <v>560</v>
      </c>
      <c r="B32" s="6" t="s">
        <v>1479</v>
      </c>
      <c r="C32" s="6" t="s">
        <v>1480</v>
      </c>
      <c r="D32" s="7" t="s">
        <v>59</v>
      </c>
      <c r="E32" s="6" t="s">
        <v>561</v>
      </c>
      <c r="F32" s="6" t="s">
        <v>1407</v>
      </c>
      <c r="G32" s="6" t="s">
        <v>558</v>
      </c>
      <c r="H32" s="7" t="n">
        <f aca="false">COUNTIF(Test_Cases!$E$2:$E$200,"*"&amp;A32&amp;"*")</f>
        <v>1</v>
      </c>
      <c r="I32" s="6" t="s">
        <v>557</v>
      </c>
      <c r="J32" s="6" t="s">
        <v>1410</v>
      </c>
      <c r="K32" s="6" t="str">
        <f aca="false">IF(H32&gt;0,"Covered",IF(J32="Test cases","GAP - add test","Addressed outside test cases"))</f>
        <v>Covered</v>
      </c>
    </row>
    <row r="33" customFormat="false" ht="16.5" hidden="false" customHeight="true" outlineLevel="0" collapsed="false">
      <c r="A33" s="10" t="s">
        <v>594</v>
      </c>
      <c r="B33" s="11" t="s">
        <v>1479</v>
      </c>
      <c r="C33" s="11" t="s">
        <v>1481</v>
      </c>
      <c r="D33" s="12" t="s">
        <v>103</v>
      </c>
      <c r="E33" s="11" t="s">
        <v>595</v>
      </c>
      <c r="F33" s="11" t="s">
        <v>1407</v>
      </c>
      <c r="G33" s="11" t="s">
        <v>592</v>
      </c>
      <c r="H33" s="12" t="n">
        <f aca="false">COUNTIF(Test_Cases!$E$2:$E$200,"*"&amp;A33&amp;"*")</f>
        <v>1</v>
      </c>
      <c r="I33" s="11" t="s">
        <v>591</v>
      </c>
      <c r="J33" s="11" t="s">
        <v>1410</v>
      </c>
      <c r="K33" s="11" t="str">
        <f aca="false">IF(H33&gt;0,"Covered",IF(J33="Test cases","GAP - add test","Addressed outside test cases"))</f>
        <v>Covered</v>
      </c>
    </row>
    <row r="34" customFormat="false" ht="16.5" hidden="false" customHeight="true" outlineLevel="0" collapsed="false">
      <c r="A34" s="5" t="s">
        <v>573</v>
      </c>
      <c r="B34" s="6" t="s">
        <v>1479</v>
      </c>
      <c r="C34" s="6" t="s">
        <v>1482</v>
      </c>
      <c r="D34" s="7" t="s">
        <v>103</v>
      </c>
      <c r="E34" s="6"/>
      <c r="F34" s="6" t="s">
        <v>1407</v>
      </c>
      <c r="G34" s="6" t="s">
        <v>571</v>
      </c>
      <c r="H34" s="7" t="n">
        <f aca="false">COUNTIF(Test_Cases!$E$2:$E$200,"*"&amp;A34&amp;"*")</f>
        <v>1</v>
      </c>
      <c r="I34" s="6" t="s">
        <v>570</v>
      </c>
      <c r="J34" s="6" t="s">
        <v>1410</v>
      </c>
      <c r="K34" s="6" t="str">
        <f aca="false">IF(H34&gt;0,"Covered",IF(J34="Test cases","GAP - add test","Addressed outside test cases"))</f>
        <v>Covered</v>
      </c>
    </row>
    <row r="35" customFormat="false" ht="16.5" hidden="false" customHeight="true" outlineLevel="0" collapsed="false">
      <c r="A35" s="10" t="s">
        <v>584</v>
      </c>
      <c r="B35" s="11" t="s">
        <v>1479</v>
      </c>
      <c r="C35" s="11" t="s">
        <v>1483</v>
      </c>
      <c r="D35" s="12" t="s">
        <v>89</v>
      </c>
      <c r="E35" s="11"/>
      <c r="F35" s="11" t="s">
        <v>1407</v>
      </c>
      <c r="G35" s="11" t="s">
        <v>582</v>
      </c>
      <c r="H35" s="12" t="n">
        <f aca="false">COUNTIF(Test_Cases!$E$2:$E$200,"*"&amp;A35&amp;"*")</f>
        <v>1</v>
      </c>
      <c r="I35" s="11" t="s">
        <v>581</v>
      </c>
      <c r="J35" s="11" t="s">
        <v>1410</v>
      </c>
      <c r="K35" s="11" t="str">
        <f aca="false">IF(H35&gt;0,"Covered",IF(J35="Test cases","GAP - add test","Addressed outside test cases"))</f>
        <v>Covered</v>
      </c>
    </row>
    <row r="36" customFormat="false" ht="28.5" hidden="false" customHeight="true" outlineLevel="0" collapsed="false">
      <c r="A36" s="5" t="s">
        <v>547</v>
      </c>
      <c r="B36" s="6" t="s">
        <v>1479</v>
      </c>
      <c r="C36" s="6" t="s">
        <v>1484</v>
      </c>
      <c r="D36" s="7" t="s">
        <v>103</v>
      </c>
      <c r="E36" s="6" t="s">
        <v>509</v>
      </c>
      <c r="F36" s="6" t="s">
        <v>1407</v>
      </c>
      <c r="G36" s="6" t="s">
        <v>1485</v>
      </c>
      <c r="H36" s="7" t="n">
        <f aca="false">COUNTIF(Test_Cases!$E$2:$E$200,"*"&amp;A36&amp;"*")</f>
        <v>2</v>
      </c>
      <c r="I36" s="6" t="s">
        <v>1486</v>
      </c>
      <c r="J36" s="6" t="s">
        <v>1410</v>
      </c>
      <c r="K36" s="6" t="str">
        <f aca="false">IF(H36&gt;0,"Covered",IF(J36="Test cases","GAP - add test","Addressed outside test cases"))</f>
        <v>Covered</v>
      </c>
    </row>
    <row r="37" customFormat="false" ht="28.5" hidden="false" customHeight="true" outlineLevel="0" collapsed="false">
      <c r="A37" s="10" t="s">
        <v>606</v>
      </c>
      <c r="B37" s="11" t="s">
        <v>1479</v>
      </c>
      <c r="C37" s="11" t="s">
        <v>1487</v>
      </c>
      <c r="D37" s="12" t="s">
        <v>89</v>
      </c>
      <c r="E37" s="11"/>
      <c r="F37" s="11" t="s">
        <v>57</v>
      </c>
      <c r="G37" s="11" t="s">
        <v>604</v>
      </c>
      <c r="H37" s="12" t="n">
        <f aca="false">COUNTIF(Test_Cases!$E$2:$E$200,"*"&amp;A37&amp;"*")</f>
        <v>1</v>
      </c>
      <c r="I37" s="11" t="s">
        <v>603</v>
      </c>
      <c r="J37" s="11" t="s">
        <v>1410</v>
      </c>
      <c r="K37" s="11" t="str">
        <f aca="false">IF(H37&gt;0,"Covered",IF(J37="Test cases","GAP - add test","Addressed outside test cases"))</f>
        <v>Covered</v>
      </c>
    </row>
    <row r="38" customFormat="false" ht="28.5" hidden="false" customHeight="true" outlineLevel="0" collapsed="false">
      <c r="A38" s="5" t="s">
        <v>641</v>
      </c>
      <c r="B38" s="6" t="s">
        <v>1274</v>
      </c>
      <c r="C38" s="6" t="s">
        <v>1488</v>
      </c>
      <c r="D38" s="7" t="s">
        <v>59</v>
      </c>
      <c r="E38" s="6" t="s">
        <v>642</v>
      </c>
      <c r="F38" s="6" t="s">
        <v>1407</v>
      </c>
      <c r="G38" s="6" t="s">
        <v>1489</v>
      </c>
      <c r="H38" s="7" t="n">
        <f aca="false">COUNTIF(Test_Cases!$E$2:$E$200,"*"&amp;A38&amp;"*")</f>
        <v>4</v>
      </c>
      <c r="I38" s="6" t="s">
        <v>1490</v>
      </c>
      <c r="J38" s="6" t="s">
        <v>1410</v>
      </c>
      <c r="K38" s="6" t="str">
        <f aca="false">IF(H38&gt;0,"Covered",IF(J38="Test cases","GAP - add test","Addressed outside test cases"))</f>
        <v>Covered</v>
      </c>
    </row>
    <row r="39" customFormat="false" ht="16.5" hidden="false" customHeight="true" outlineLevel="0" collapsed="false">
      <c r="A39" s="10" t="s">
        <v>667</v>
      </c>
      <c r="B39" s="11" t="s">
        <v>1274</v>
      </c>
      <c r="C39" s="11" t="s">
        <v>1491</v>
      </c>
      <c r="D39" s="12" t="s">
        <v>59</v>
      </c>
      <c r="E39" s="11" t="s">
        <v>668</v>
      </c>
      <c r="F39" s="11" t="s">
        <v>1407</v>
      </c>
      <c r="G39" s="11" t="s">
        <v>665</v>
      </c>
      <c r="H39" s="12" t="n">
        <f aca="false">COUNTIF(Test_Cases!$E$2:$E$200,"*"&amp;A39&amp;"*")</f>
        <v>1</v>
      </c>
      <c r="I39" s="11" t="s">
        <v>664</v>
      </c>
      <c r="J39" s="11" t="s">
        <v>1410</v>
      </c>
      <c r="K39" s="11" t="str">
        <f aca="false">IF(H39&gt;0,"Covered",IF(J39="Test cases","GAP - add test","Addressed outside test cases"))</f>
        <v>Covered</v>
      </c>
    </row>
    <row r="40" customFormat="false" ht="28.5" hidden="false" customHeight="true" outlineLevel="0" collapsed="false">
      <c r="A40" s="5" t="s">
        <v>698</v>
      </c>
      <c r="B40" s="6" t="s">
        <v>1274</v>
      </c>
      <c r="C40" s="6" t="s">
        <v>1492</v>
      </c>
      <c r="D40" s="7" t="s">
        <v>103</v>
      </c>
      <c r="E40" s="6" t="s">
        <v>699</v>
      </c>
      <c r="F40" s="6" t="s">
        <v>1412</v>
      </c>
      <c r="G40" s="6" t="s">
        <v>696</v>
      </c>
      <c r="H40" s="7" t="n">
        <f aca="false">COUNTIF(Test_Cases!$E$2:$E$200,"*"&amp;A40&amp;"*")</f>
        <v>1</v>
      </c>
      <c r="I40" s="6" t="s">
        <v>695</v>
      </c>
      <c r="J40" s="6" t="s">
        <v>1410</v>
      </c>
      <c r="K40" s="6" t="str">
        <f aca="false">IF(H40&gt;0,"Covered",IF(J40="Test cases","GAP - add test","Addressed outside test cases"))</f>
        <v>Covered</v>
      </c>
    </row>
    <row r="41" customFormat="false" ht="28.5" hidden="false" customHeight="true" outlineLevel="0" collapsed="false">
      <c r="A41" s="10" t="s">
        <v>712</v>
      </c>
      <c r="B41" s="11" t="s">
        <v>1274</v>
      </c>
      <c r="C41" s="11" t="s">
        <v>1493</v>
      </c>
      <c r="D41" s="12" t="s">
        <v>89</v>
      </c>
      <c r="E41" s="11"/>
      <c r="F41" s="11" t="s">
        <v>57</v>
      </c>
      <c r="G41" s="11" t="s">
        <v>710</v>
      </c>
      <c r="H41" s="12" t="n">
        <f aca="false">COUNTIF(Test_Cases!$E$2:$E$200,"*"&amp;A41&amp;"*")</f>
        <v>2</v>
      </c>
      <c r="I41" s="11" t="s">
        <v>1494</v>
      </c>
      <c r="J41" s="11" t="s">
        <v>1410</v>
      </c>
      <c r="K41" s="11" t="str">
        <f aca="false">IF(H41&gt;0,"Covered",IF(J41="Test cases","GAP - add test","Addressed outside test cases"))</f>
        <v>Covered</v>
      </c>
    </row>
    <row r="42" customFormat="false" ht="28.5" hidden="false" customHeight="true" outlineLevel="0" collapsed="false">
      <c r="A42" s="5" t="s">
        <v>679</v>
      </c>
      <c r="B42" s="6" t="s">
        <v>1274</v>
      </c>
      <c r="C42" s="6" t="s">
        <v>1495</v>
      </c>
      <c r="D42" s="7" t="s">
        <v>89</v>
      </c>
      <c r="E42" s="6"/>
      <c r="F42" s="6" t="s">
        <v>1407</v>
      </c>
      <c r="G42" s="6" t="s">
        <v>1496</v>
      </c>
      <c r="H42" s="7" t="n">
        <f aca="false">COUNTIF(Test_Cases!$E$2:$E$200,"*"&amp;A42&amp;"*")</f>
        <v>2</v>
      </c>
      <c r="I42" s="6" t="s">
        <v>1497</v>
      </c>
      <c r="J42" s="6" t="s">
        <v>1410</v>
      </c>
      <c r="K42" s="6" t="str">
        <f aca="false">IF(H42&gt;0,"Covered",IF(J42="Test cases","GAP - add test","Addressed outside test cases"))</f>
        <v>Covered</v>
      </c>
    </row>
    <row r="43" customFormat="false" ht="28.5" hidden="false" customHeight="true" outlineLevel="0" collapsed="false">
      <c r="A43" s="10" t="s">
        <v>1498</v>
      </c>
      <c r="B43" s="11" t="s">
        <v>1274</v>
      </c>
      <c r="C43" s="11" t="s">
        <v>1499</v>
      </c>
      <c r="D43" s="12" t="s">
        <v>103</v>
      </c>
      <c r="E43" s="11"/>
      <c r="F43" s="11" t="s">
        <v>1407</v>
      </c>
      <c r="G43" s="11" t="s">
        <v>1500</v>
      </c>
      <c r="H43" s="12" t="n">
        <f aca="false">COUNTIF(Test_Cases!$E$2:$E$200,"*"&amp;A43&amp;"*")</f>
        <v>2</v>
      </c>
      <c r="I43" s="11" t="s">
        <v>1501</v>
      </c>
      <c r="J43" s="11" t="s">
        <v>1410</v>
      </c>
      <c r="K43" s="11" t="str">
        <f aca="false">IF(H43&gt;0,"Covered",IF(J43="Test cases","GAP - add test","Addressed outside test cases"))</f>
        <v>Covered</v>
      </c>
    </row>
    <row r="44" customFormat="false" ht="28.5" hidden="false" customHeight="true" outlineLevel="0" collapsed="false">
      <c r="A44" s="5" t="s">
        <v>402</v>
      </c>
      <c r="B44" s="6" t="s">
        <v>1271</v>
      </c>
      <c r="C44" s="6" t="s">
        <v>1502</v>
      </c>
      <c r="D44" s="7" t="s">
        <v>89</v>
      </c>
      <c r="E44" s="6"/>
      <c r="F44" s="6" t="s">
        <v>1412</v>
      </c>
      <c r="G44" s="6" t="s">
        <v>1503</v>
      </c>
      <c r="H44" s="7" t="n">
        <f aca="false">COUNTIF(Test_Cases!$E$2:$E$200,"*"&amp;A44&amp;"*")</f>
        <v>4</v>
      </c>
      <c r="I44" s="6" t="s">
        <v>1504</v>
      </c>
      <c r="J44" s="6" t="s">
        <v>1410</v>
      </c>
      <c r="K44" s="6" t="str">
        <f aca="false">IF(H44&gt;0,"Covered",IF(J44="Test cases","GAP - add test","Addressed outside test cases"))</f>
        <v>Covered</v>
      </c>
    </row>
    <row r="45" customFormat="false" ht="28.5" hidden="false" customHeight="true" outlineLevel="0" collapsed="false">
      <c r="A45" s="10" t="s">
        <v>723</v>
      </c>
      <c r="B45" s="11" t="s">
        <v>1271</v>
      </c>
      <c r="C45" s="11" t="s">
        <v>1505</v>
      </c>
      <c r="D45" s="12" t="s">
        <v>103</v>
      </c>
      <c r="E45" s="11"/>
      <c r="F45" s="11" t="s">
        <v>1412</v>
      </c>
      <c r="G45" s="11" t="s">
        <v>721</v>
      </c>
      <c r="H45" s="12" t="n">
        <f aca="false">COUNTIF(Test_Cases!$E$2:$E$200,"*"&amp;A45&amp;"*")</f>
        <v>2</v>
      </c>
      <c r="I45" s="11" t="s">
        <v>1506</v>
      </c>
      <c r="J45" s="11" t="s">
        <v>1410</v>
      </c>
      <c r="K45" s="11" t="str">
        <f aca="false">IF(H45&gt;0,"Covered",IF(J45="Test cases","GAP - add test","Addressed outside test cases"))</f>
        <v>Covered</v>
      </c>
    </row>
    <row r="46" customFormat="false" ht="28.5" hidden="false" customHeight="true" outlineLevel="0" collapsed="false">
      <c r="A46" s="5" t="s">
        <v>778</v>
      </c>
      <c r="B46" s="6" t="s">
        <v>1271</v>
      </c>
      <c r="C46" s="6" t="s">
        <v>1507</v>
      </c>
      <c r="D46" s="7" t="s">
        <v>89</v>
      </c>
      <c r="E46" s="6"/>
      <c r="F46" s="6" t="s">
        <v>57</v>
      </c>
      <c r="G46" s="6" t="s">
        <v>1508</v>
      </c>
      <c r="H46" s="7" t="n">
        <f aca="false">COUNTIF(Test_Cases!$E$2:$E$200,"*"&amp;A46&amp;"*")</f>
        <v>2</v>
      </c>
      <c r="I46" s="6" t="s">
        <v>1509</v>
      </c>
      <c r="J46" s="6" t="s">
        <v>1410</v>
      </c>
      <c r="K46" s="6" t="str">
        <f aca="false">IF(H46&gt;0,"Covered",IF(J46="Test cases","GAP - add test","Addressed outside test cases"))</f>
        <v>Covered</v>
      </c>
    </row>
    <row r="47" customFormat="false" ht="28.5" hidden="false" customHeight="true" outlineLevel="0" collapsed="false">
      <c r="A47" s="10" t="s">
        <v>803</v>
      </c>
      <c r="B47" s="11" t="s">
        <v>1510</v>
      </c>
      <c r="C47" s="11" t="s">
        <v>1511</v>
      </c>
      <c r="D47" s="12" t="s">
        <v>59</v>
      </c>
      <c r="E47" s="11" t="s">
        <v>207</v>
      </c>
      <c r="F47" s="11" t="s">
        <v>1412</v>
      </c>
      <c r="G47" s="11" t="s">
        <v>1512</v>
      </c>
      <c r="H47" s="12" t="n">
        <f aca="false">COUNTIF(Test_Cases!$E$2:$E$200,"*"&amp;A47&amp;"*")</f>
        <v>2</v>
      </c>
      <c r="I47" s="11" t="s">
        <v>1513</v>
      </c>
      <c r="J47" s="11" t="s">
        <v>1410</v>
      </c>
      <c r="K47" s="11" t="str">
        <f aca="false">IF(H47&gt;0,"Covered",IF(J47="Test cases","GAP - add test","Addressed outside test cases"))</f>
        <v>Covered</v>
      </c>
    </row>
    <row r="48" customFormat="false" ht="28.5" hidden="false" customHeight="true" outlineLevel="0" collapsed="false">
      <c r="A48" s="5" t="s">
        <v>788</v>
      </c>
      <c r="B48" s="6" t="s">
        <v>1510</v>
      </c>
      <c r="C48" s="6" t="s">
        <v>1514</v>
      </c>
      <c r="D48" s="7" t="s">
        <v>59</v>
      </c>
      <c r="E48" s="6" t="s">
        <v>789</v>
      </c>
      <c r="F48" s="6" t="s">
        <v>1407</v>
      </c>
      <c r="G48" s="6" t="s">
        <v>1515</v>
      </c>
      <c r="H48" s="7" t="n">
        <f aca="false">COUNTIF(Test_Cases!$E$2:$E$200,"*"&amp;A48&amp;"*")</f>
        <v>2</v>
      </c>
      <c r="I48" s="6" t="s">
        <v>1516</v>
      </c>
      <c r="J48" s="6" t="s">
        <v>1410</v>
      </c>
      <c r="K48" s="6" t="str">
        <f aca="false">IF(H48&gt;0,"Covered",IF(J48="Test cases","GAP - add test","Addressed outside test cases"))</f>
        <v>Covered</v>
      </c>
    </row>
    <row r="49" customFormat="false" ht="28.5" hidden="false" customHeight="true" outlineLevel="0" collapsed="false">
      <c r="A49" s="10" t="s">
        <v>827</v>
      </c>
      <c r="B49" s="11" t="s">
        <v>1510</v>
      </c>
      <c r="C49" s="11" t="s">
        <v>1517</v>
      </c>
      <c r="D49" s="12" t="s">
        <v>103</v>
      </c>
      <c r="E49" s="11"/>
      <c r="F49" s="11" t="s">
        <v>1412</v>
      </c>
      <c r="G49" s="11" t="s">
        <v>1518</v>
      </c>
      <c r="H49" s="12" t="n">
        <f aca="false">COUNTIF(Test_Cases!$E$2:$E$200,"*"&amp;A49&amp;"*")</f>
        <v>2</v>
      </c>
      <c r="I49" s="11" t="s">
        <v>1519</v>
      </c>
      <c r="J49" s="11" t="s">
        <v>1410</v>
      </c>
      <c r="K49" s="11" t="str">
        <f aca="false">IF(H49&gt;0,"Covered",IF(J49="Test cases","GAP - add test","Addressed outside test cases"))</f>
        <v>Covered</v>
      </c>
    </row>
    <row r="50" customFormat="false" ht="28.5" hidden="false" customHeight="true" outlineLevel="0" collapsed="false">
      <c r="A50" s="5" t="s">
        <v>840</v>
      </c>
      <c r="B50" s="6" t="s">
        <v>1510</v>
      </c>
      <c r="C50" s="6" t="s">
        <v>1520</v>
      </c>
      <c r="D50" s="7" t="s">
        <v>103</v>
      </c>
      <c r="E50" s="6"/>
      <c r="F50" s="6" t="s">
        <v>1407</v>
      </c>
      <c r="G50" s="6" t="s">
        <v>838</v>
      </c>
      <c r="H50" s="7" t="n">
        <f aca="false">COUNTIF(Test_Cases!$E$2:$E$200,"*"&amp;A50&amp;"*")</f>
        <v>1</v>
      </c>
      <c r="I50" s="6" t="s">
        <v>837</v>
      </c>
      <c r="J50" s="6" t="s">
        <v>1410</v>
      </c>
      <c r="K50" s="6" t="str">
        <f aca="false">IF(H50&gt;0,"Covered",IF(J50="Test cases","GAP - add test","Addressed outside test cases"))</f>
        <v>Covered</v>
      </c>
    </row>
    <row r="51" customFormat="false" ht="28.5" hidden="false" customHeight="true" outlineLevel="0" collapsed="false">
      <c r="A51" s="10" t="s">
        <v>853</v>
      </c>
      <c r="B51" s="11" t="s">
        <v>1510</v>
      </c>
      <c r="C51" s="11" t="s">
        <v>1521</v>
      </c>
      <c r="D51" s="12" t="s">
        <v>89</v>
      </c>
      <c r="E51" s="11"/>
      <c r="F51" s="11" t="s">
        <v>57</v>
      </c>
      <c r="G51" s="11" t="s">
        <v>851</v>
      </c>
      <c r="H51" s="12" t="n">
        <f aca="false">COUNTIF(Test_Cases!$E$2:$E$200,"*"&amp;A51&amp;"*")</f>
        <v>1</v>
      </c>
      <c r="I51" s="11" t="s">
        <v>850</v>
      </c>
      <c r="J51" s="11" t="s">
        <v>1410</v>
      </c>
      <c r="K51" s="11" t="str">
        <f aca="false">IF(H51&gt;0,"Covered",IF(J51="Test cases","GAP - add test","Addressed outside test cases"))</f>
        <v>Covered</v>
      </c>
    </row>
    <row r="52" customFormat="false" ht="28.5" hidden="false" customHeight="true" outlineLevel="0" collapsed="false">
      <c r="A52" s="5" t="s">
        <v>1522</v>
      </c>
      <c r="B52" s="6" t="s">
        <v>887</v>
      </c>
      <c r="C52" s="6" t="s">
        <v>1523</v>
      </c>
      <c r="D52" s="7" t="s">
        <v>59</v>
      </c>
      <c r="E52" s="6" t="s">
        <v>1524</v>
      </c>
      <c r="F52" s="6" t="s">
        <v>1407</v>
      </c>
      <c r="G52" s="6" t="s">
        <v>1525</v>
      </c>
      <c r="H52" s="7" t="n">
        <f aca="false">COUNTIF(Test_Cases!$E$2:$E$200,"*"&amp;A52&amp;"*")</f>
        <v>3</v>
      </c>
      <c r="I52" s="6" t="s">
        <v>1526</v>
      </c>
      <c r="J52" s="6" t="s">
        <v>1410</v>
      </c>
      <c r="K52" s="6" t="str">
        <f aca="false">IF(H52&gt;0,"Covered",IF(J52="Test cases","GAP - add test","Addressed outside test cases"))</f>
        <v>Covered</v>
      </c>
    </row>
    <row r="53" customFormat="false" ht="28.5" hidden="false" customHeight="true" outlineLevel="0" collapsed="false">
      <c r="A53" s="10" t="s">
        <v>1527</v>
      </c>
      <c r="B53" s="11" t="s">
        <v>887</v>
      </c>
      <c r="C53" s="11" t="s">
        <v>1528</v>
      </c>
      <c r="D53" s="12" t="s">
        <v>103</v>
      </c>
      <c r="E53" s="11"/>
      <c r="F53" s="11" t="s">
        <v>887</v>
      </c>
      <c r="G53" s="11" t="s">
        <v>897</v>
      </c>
      <c r="H53" s="12" t="n">
        <f aca="false">COUNTIF(Test_Cases!$E$2:$E$200,"*"&amp;A53&amp;"*")</f>
        <v>1</v>
      </c>
      <c r="I53" s="11" t="s">
        <v>896</v>
      </c>
      <c r="J53" s="11" t="s">
        <v>1410</v>
      </c>
      <c r="K53" s="11" t="str">
        <f aca="false">IF(H53&gt;0,"Covered",IF(J53="Test cases","GAP - add test","Addressed outside test cases"))</f>
        <v>Covered</v>
      </c>
    </row>
    <row r="54" customFormat="false" ht="28.5" hidden="false" customHeight="true" outlineLevel="0" collapsed="false">
      <c r="A54" s="5" t="s">
        <v>1529</v>
      </c>
      <c r="B54" s="6" t="s">
        <v>887</v>
      </c>
      <c r="C54" s="6" t="s">
        <v>1530</v>
      </c>
      <c r="D54" s="7" t="s">
        <v>89</v>
      </c>
      <c r="E54" s="6"/>
      <c r="F54" s="6" t="s">
        <v>887</v>
      </c>
      <c r="G54" s="6" t="s">
        <v>1531</v>
      </c>
      <c r="H54" s="7" t="n">
        <f aca="false">COUNTIF(Test_Cases!$E$2:$E$200,"*"&amp;A54&amp;"*")</f>
        <v>2</v>
      </c>
      <c r="I54" s="6" t="s">
        <v>1532</v>
      </c>
      <c r="J54" s="6" t="s">
        <v>1410</v>
      </c>
      <c r="K54" s="6" t="str">
        <f aca="false">IF(H54&gt;0,"Covered",IF(J54="Test cases","GAP - add test","Addressed outside test cases"))</f>
        <v>Covered</v>
      </c>
    </row>
    <row r="55" customFormat="false" ht="28.5" hidden="false" customHeight="true" outlineLevel="0" collapsed="false">
      <c r="A55" s="10" t="s">
        <v>1533</v>
      </c>
      <c r="B55" s="11" t="s">
        <v>1534</v>
      </c>
      <c r="C55" s="11" t="s">
        <v>1535</v>
      </c>
      <c r="D55" s="12" t="s">
        <v>103</v>
      </c>
      <c r="E55" s="11"/>
      <c r="F55" s="11" t="s">
        <v>1536</v>
      </c>
      <c r="G55" s="11" t="s">
        <v>1129</v>
      </c>
      <c r="H55" s="12" t="n">
        <f aca="false">COUNTIF(Test_Cases!$E$2:$E$200,"*"&amp;A55&amp;"*")</f>
        <v>0</v>
      </c>
      <c r="I55" s="11"/>
      <c r="J55" s="11" t="s">
        <v>1537</v>
      </c>
      <c r="K55" s="11" t="str">
        <f aca="false">IF(H55&gt;0,"Covered",IF(J55="Test cases","GAP - add test","Addressed outside test cases"))</f>
        <v>Addressed outside test cases</v>
      </c>
    </row>
    <row r="56" customFormat="false" ht="28.5" hidden="false" customHeight="true" outlineLevel="0" collapsed="false">
      <c r="A56" s="5" t="s">
        <v>1538</v>
      </c>
      <c r="B56" s="6" t="s">
        <v>1534</v>
      </c>
      <c r="C56" s="6" t="s">
        <v>1539</v>
      </c>
      <c r="D56" s="7" t="s">
        <v>89</v>
      </c>
      <c r="E56" s="6"/>
      <c r="F56" s="6" t="s">
        <v>1540</v>
      </c>
      <c r="G56" s="6" t="s">
        <v>1541</v>
      </c>
      <c r="H56" s="7" t="n">
        <f aca="false">COUNTIF(Test_Cases!$E$2:$E$200,"*"&amp;A56&amp;"*")</f>
        <v>0</v>
      </c>
      <c r="I56" s="6"/>
      <c r="J56" s="6" t="s">
        <v>1537</v>
      </c>
      <c r="K56" s="6" t="str">
        <f aca="false">IF(H56&gt;0,"Covered",IF(J56="Test cases","GAP - add test","Addressed outside test cases"))</f>
        <v>Addressed outside test cases</v>
      </c>
    </row>
    <row r="57" customFormat="false" ht="28.5" hidden="false" customHeight="true" outlineLevel="0" collapsed="false">
      <c r="A57" s="10" t="s">
        <v>1542</v>
      </c>
      <c r="B57" s="11" t="s">
        <v>1534</v>
      </c>
      <c r="C57" s="11" t="s">
        <v>1543</v>
      </c>
      <c r="D57" s="12" t="s">
        <v>103</v>
      </c>
      <c r="E57" s="11"/>
      <c r="F57" s="11" t="s">
        <v>1544</v>
      </c>
      <c r="G57" s="11" t="s">
        <v>1545</v>
      </c>
      <c r="H57" s="12" t="n">
        <f aca="false">COUNTIF(Test_Cases!$E$2:$E$200,"*"&amp;A57&amp;"*")</f>
        <v>0</v>
      </c>
      <c r="I57" s="11"/>
      <c r="J57" s="11" t="s">
        <v>1537</v>
      </c>
      <c r="K57" s="11" t="str">
        <f aca="false">IF(H57&gt;0,"Covered",IF(J57="Test cases","GAP - add test","Addressed outside test cases"))</f>
        <v>Addressed outside test cases</v>
      </c>
    </row>
    <row r="58" customFormat="false" ht="28.5" hidden="false" customHeight="true" outlineLevel="0" collapsed="false">
      <c r="A58" s="5" t="s">
        <v>1546</v>
      </c>
      <c r="B58" s="6" t="s">
        <v>1534</v>
      </c>
      <c r="C58" s="6" t="s">
        <v>1547</v>
      </c>
      <c r="D58" s="7" t="s">
        <v>103</v>
      </c>
      <c r="E58" s="6"/>
      <c r="F58" s="6" t="s">
        <v>1548</v>
      </c>
      <c r="G58" s="6" t="s">
        <v>1549</v>
      </c>
      <c r="H58" s="7" t="n">
        <f aca="false">COUNTIF(Test_Cases!$E$2:$E$200,"*"&amp;A58&amp;"*")</f>
        <v>0</v>
      </c>
      <c r="I58" s="6"/>
      <c r="J58" s="6" t="s">
        <v>1537</v>
      </c>
      <c r="K58" s="6" t="str">
        <f aca="false">IF(H58&gt;0,"Covered",IF(J58="Test cases","GAP - add test","Addressed outside test cases"))</f>
        <v>Addressed outside test cases</v>
      </c>
    </row>
    <row r="59" customFormat="false" ht="28.5" hidden="false" customHeight="true" outlineLevel="0" collapsed="false">
      <c r="A59" s="10" t="s">
        <v>1550</v>
      </c>
      <c r="B59" s="11" t="s">
        <v>1551</v>
      </c>
      <c r="C59" s="11" t="s">
        <v>1552</v>
      </c>
      <c r="D59" s="12" t="s">
        <v>89</v>
      </c>
      <c r="E59" s="11" t="s">
        <v>1553</v>
      </c>
      <c r="F59" s="11" t="s">
        <v>1551</v>
      </c>
      <c r="G59" s="11" t="s">
        <v>1554</v>
      </c>
      <c r="H59" s="12" t="n">
        <f aca="false">COUNTIF(Test_Cases!$E$2:$E$200,"*"&amp;A59&amp;"*")</f>
        <v>0</v>
      </c>
      <c r="I59" s="11"/>
      <c r="J59" s="11" t="s">
        <v>1537</v>
      </c>
      <c r="K59" s="11" t="str">
        <f aca="false">IF(H59&gt;0,"Covered",IF(J59="Test cases","GAP - add test","Addressed outside test cases"))</f>
        <v>Addressed outside test cases</v>
      </c>
    </row>
    <row r="60" customFormat="false" ht="28.5" hidden="false" customHeight="true" outlineLevel="0" collapsed="false">
      <c r="A60" s="5" t="s">
        <v>1555</v>
      </c>
      <c r="B60" s="6" t="s">
        <v>1551</v>
      </c>
      <c r="C60" s="6" t="s">
        <v>1556</v>
      </c>
      <c r="D60" s="7" t="s">
        <v>103</v>
      </c>
      <c r="E60" s="6"/>
      <c r="F60" s="6" t="s">
        <v>57</v>
      </c>
      <c r="G60" s="6" t="s">
        <v>1557</v>
      </c>
      <c r="H60" s="7" t="n">
        <f aca="false">COUNTIF(Test_Cases!$E$2:$E$200,"*"&amp;A60&amp;"*")</f>
        <v>0</v>
      </c>
      <c r="I60" s="6"/>
      <c r="J60" s="6" t="s">
        <v>1537</v>
      </c>
      <c r="K60" s="6" t="str">
        <f aca="false">IF(H60&gt;0,"Covered",IF(J60="Test cases","GAP - add test","Addressed outside test cases"))</f>
        <v>Addressed outside test cases</v>
      </c>
    </row>
    <row r="61" customFormat="false" ht="41.25" hidden="false" customHeight="true" outlineLevel="0" collapsed="false">
      <c r="A61" s="10" t="s">
        <v>1558</v>
      </c>
      <c r="B61" s="11" t="s">
        <v>1551</v>
      </c>
      <c r="C61" s="11" t="s">
        <v>1559</v>
      </c>
      <c r="D61" s="12" t="s">
        <v>103</v>
      </c>
      <c r="E61" s="11"/>
      <c r="F61" s="11" t="s">
        <v>1548</v>
      </c>
      <c r="G61" s="11" t="s">
        <v>1560</v>
      </c>
      <c r="H61" s="12" t="n">
        <f aca="false">COUNTIF(Test_Cases!$E$2:$E$200,"*"&amp;A61&amp;"*")</f>
        <v>0</v>
      </c>
      <c r="I61" s="11"/>
      <c r="J61" s="11" t="s">
        <v>1537</v>
      </c>
      <c r="K61" s="11" t="str">
        <f aca="false">IF(H61&gt;0,"Covered",IF(J61="Test cases","GAP - add test","Addressed outside test cases"))</f>
        <v>Addressed outside test cases</v>
      </c>
    </row>
    <row r="62" customFormat="false" ht="28.5" hidden="false" customHeight="true" outlineLevel="0" collapsed="false">
      <c r="A62" s="5" t="s">
        <v>1561</v>
      </c>
      <c r="B62" s="6" t="s">
        <v>1551</v>
      </c>
      <c r="C62" s="6" t="s">
        <v>1562</v>
      </c>
      <c r="D62" s="7" t="s">
        <v>103</v>
      </c>
      <c r="E62" s="6"/>
      <c r="F62" s="6" t="s">
        <v>1407</v>
      </c>
      <c r="G62" s="6" t="s">
        <v>1548</v>
      </c>
      <c r="H62" s="7" t="n">
        <f aca="false">COUNTIF(Test_Cases!$E$2:$E$200,"*"&amp;A62&amp;"*")</f>
        <v>0</v>
      </c>
      <c r="I62" s="6"/>
      <c r="J62" s="6" t="s">
        <v>1537</v>
      </c>
      <c r="K62" s="6" t="str">
        <f aca="false">IF(H62&gt;0,"Covered",IF(J62="Test cases","GAP - add test","Addressed outside test cases"))</f>
        <v>Addressed outside test cases</v>
      </c>
    </row>
    <row r="63" customFormat="false" ht="28.5" hidden="false" customHeight="true" outlineLevel="0" collapsed="false">
      <c r="A63" s="10" t="s">
        <v>1563</v>
      </c>
      <c r="B63" s="11" t="s">
        <v>1551</v>
      </c>
      <c r="C63" s="11" t="s">
        <v>1564</v>
      </c>
      <c r="D63" s="12" t="s">
        <v>89</v>
      </c>
      <c r="E63" s="11"/>
      <c r="F63" s="11" t="s">
        <v>1548</v>
      </c>
      <c r="G63" s="11" t="s">
        <v>1565</v>
      </c>
      <c r="H63" s="12" t="n">
        <f aca="false">COUNTIF(Test_Cases!$E$2:$E$200,"*"&amp;A63&amp;"*")</f>
        <v>0</v>
      </c>
      <c r="I63" s="11"/>
      <c r="J63" s="11" t="s">
        <v>1537</v>
      </c>
      <c r="K63" s="11" t="str">
        <f aca="false">IF(H63&gt;0,"Covered",IF(J63="Test cases","GAP - add test","Addressed outside test cases"))</f>
        <v>Addressed outside test cases</v>
      </c>
    </row>
  </sheetData>
  <autoFilter ref="A1:K63"/>
  <conditionalFormatting sqref="D2:D63">
    <cfRule type="cellIs" priority="2" operator="equal" aboveAverage="0" equalAverage="0" bottom="0" percent="0" rank="0" text="" dxfId="9">
      <formula>"P1"</formula>
    </cfRule>
    <cfRule type="cellIs" priority="3" operator="equal" aboveAverage="0" equalAverage="0" bottom="0" percent="0" rank="0" text="" dxfId="10">
      <formula>"P2"</formula>
    </cfRule>
    <cfRule type="cellIs" priority="4" operator="equal" aboveAverage="0" equalAverage="0" bottom="0" percent="0" rank="0" text="" dxfId="11">
      <formula>"P3"</formula>
    </cfRule>
  </conditionalFormatting>
  <conditionalFormatting sqref="K2:K63">
    <cfRule type="expression" priority="5" aboveAverage="0" equalAverage="0" bottom="0" percent="0" rank="0" text="" dxfId="13">
      <formula>LEFT(K2,3)="GAP"</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18"/>
    <col collapsed="false" customWidth="true" hidden="false" outlineLevel="0" max="4" min="4" style="0" width="12"/>
    <col collapsed="false" customWidth="true" hidden="false" outlineLevel="0" max="5" min="5" style="0" width="11"/>
    <col collapsed="false" customWidth="true" hidden="false" outlineLevel="0" max="6" min="6" style="0" width="36"/>
    <col collapsed="false" customWidth="true" hidden="false" outlineLevel="0" max="7" min="7" style="0" width="52"/>
    <col collapsed="false" customWidth="true" hidden="false" outlineLevel="0" max="8" min="8" style="0" width="16"/>
    <col collapsed="false" customWidth="true" hidden="false" outlineLevel="0" max="9" min="9" style="0" width="22"/>
  </cols>
  <sheetData>
    <row r="1" customFormat="false" ht="30" hidden="false" customHeight="true" outlineLevel="0" collapsed="false">
      <c r="A1" s="4" t="s">
        <v>1566</v>
      </c>
      <c r="B1" s="4" t="s">
        <v>1567</v>
      </c>
      <c r="C1" s="4" t="s">
        <v>34</v>
      </c>
      <c r="D1" s="4" t="s">
        <v>1400</v>
      </c>
      <c r="E1" s="4" t="s">
        <v>1402</v>
      </c>
      <c r="F1" s="4" t="s">
        <v>1403</v>
      </c>
      <c r="G1" s="4" t="s">
        <v>1568</v>
      </c>
      <c r="H1" s="4" t="s">
        <v>1569</v>
      </c>
      <c r="I1" s="4" t="s">
        <v>1405</v>
      </c>
    </row>
    <row r="2" customFormat="false" ht="28.5" hidden="false" customHeight="true" outlineLevel="0" collapsed="false">
      <c r="A2" s="5" t="s">
        <v>56</v>
      </c>
      <c r="B2" s="6" t="s">
        <v>1570</v>
      </c>
      <c r="C2" s="6" t="s">
        <v>55</v>
      </c>
      <c r="D2" s="6" t="s">
        <v>1571</v>
      </c>
      <c r="E2" s="7" t="n">
        <f aca="false">COUNTIF(Test_Cases!$F$2:$F$200,"*"&amp;A2&amp;"*")</f>
        <v>2</v>
      </c>
      <c r="F2" s="6" t="s">
        <v>1409</v>
      </c>
      <c r="G2" s="6" t="s">
        <v>1572</v>
      </c>
      <c r="H2" s="9"/>
      <c r="I2" s="6" t="str">
        <f aca="false">IF(E2&gt;0,"Covered","Framework configuration")</f>
        <v>Covered</v>
      </c>
    </row>
    <row r="3" customFormat="false" ht="28.5" hidden="false" customHeight="true" outlineLevel="0" collapsed="false">
      <c r="A3" s="10" t="s">
        <v>127</v>
      </c>
      <c r="B3" s="11" t="s">
        <v>1573</v>
      </c>
      <c r="C3" s="11" t="s">
        <v>126</v>
      </c>
      <c r="D3" s="11" t="s">
        <v>1574</v>
      </c>
      <c r="E3" s="12" t="n">
        <f aca="false">COUNTIF(Test_Cases!$F$2:$F$200,"*"&amp;A3&amp;"*")</f>
        <v>2</v>
      </c>
      <c r="F3" s="11" t="s">
        <v>1413</v>
      </c>
      <c r="G3" s="11" t="s">
        <v>1575</v>
      </c>
      <c r="H3" s="9"/>
      <c r="I3" s="11" t="str">
        <f aca="false">IF(E3&gt;0,"Covered","Framework configuration")</f>
        <v>Covered</v>
      </c>
    </row>
    <row r="4" customFormat="false" ht="28.5" hidden="false" customHeight="true" outlineLevel="0" collapsed="false">
      <c r="A4" s="5" t="s">
        <v>157</v>
      </c>
      <c r="B4" s="6" t="s">
        <v>1576</v>
      </c>
      <c r="C4" s="6" t="s">
        <v>156</v>
      </c>
      <c r="D4" s="6" t="s">
        <v>1571</v>
      </c>
      <c r="E4" s="7" t="n">
        <f aca="false">COUNTIF(Test_Cases!$F$2:$F$200,"*"&amp;A4&amp;"*")</f>
        <v>1</v>
      </c>
      <c r="F4" s="6" t="s">
        <v>153</v>
      </c>
      <c r="G4" s="6" t="s">
        <v>1577</v>
      </c>
      <c r="H4" s="9"/>
      <c r="I4" s="6" t="str">
        <f aca="false">IF(E4&gt;0,"Covered","Framework configuration")</f>
        <v>Covered</v>
      </c>
    </row>
    <row r="5" customFormat="false" ht="28.5" hidden="false" customHeight="true" outlineLevel="0" collapsed="false">
      <c r="A5" s="10" t="s">
        <v>270</v>
      </c>
      <c r="B5" s="11" t="s">
        <v>1578</v>
      </c>
      <c r="C5" s="11" t="s">
        <v>269</v>
      </c>
      <c r="D5" s="11" t="s">
        <v>1571</v>
      </c>
      <c r="E5" s="12" t="n">
        <f aca="false">COUNTIF(Test_Cases!$F$2:$F$200,"*"&amp;A5&amp;"*")</f>
        <v>4</v>
      </c>
      <c r="F5" s="11" t="s">
        <v>1440</v>
      </c>
      <c r="G5" s="11" t="s">
        <v>1579</v>
      </c>
      <c r="H5" s="9"/>
      <c r="I5" s="11" t="str">
        <f aca="false">IF(E5&gt;0,"Covered","Framework configuration")</f>
        <v>Covered</v>
      </c>
    </row>
    <row r="6" customFormat="false" ht="16.5" hidden="false" customHeight="true" outlineLevel="0" collapsed="false">
      <c r="A6" s="5" t="s">
        <v>290</v>
      </c>
      <c r="B6" s="6" t="s">
        <v>1580</v>
      </c>
      <c r="C6" s="6" t="s">
        <v>289</v>
      </c>
      <c r="D6" s="6" t="s">
        <v>1574</v>
      </c>
      <c r="E6" s="7" t="n">
        <f aca="false">COUNTIF(Test_Cases!$F$2:$F$200,"*"&amp;A6&amp;"*")</f>
        <v>2</v>
      </c>
      <c r="F6" s="6" t="s">
        <v>1442</v>
      </c>
      <c r="G6" s="6" t="s">
        <v>1581</v>
      </c>
      <c r="H6" s="9"/>
      <c r="I6" s="6" t="str">
        <f aca="false">IF(E6&gt;0,"Covered","Framework configuration")</f>
        <v>Covered</v>
      </c>
    </row>
    <row r="7" customFormat="false" ht="28.5" hidden="false" customHeight="true" outlineLevel="0" collapsed="false">
      <c r="A7" s="10" t="s">
        <v>753</v>
      </c>
      <c r="B7" s="11" t="s">
        <v>1582</v>
      </c>
      <c r="C7" s="11" t="s">
        <v>752</v>
      </c>
      <c r="D7" s="11" t="s">
        <v>1571</v>
      </c>
      <c r="E7" s="12" t="n">
        <f aca="false">COUNTIF(Test_Cases!$F$2:$F$200,"*"&amp;A7&amp;"*")</f>
        <v>2</v>
      </c>
      <c r="F7" s="11" t="s">
        <v>1460</v>
      </c>
      <c r="G7" s="11" t="s">
        <v>1583</v>
      </c>
      <c r="H7" s="9"/>
      <c r="I7" s="11" t="str">
        <f aca="false">IF(E7&gt;0,"Covered","Framework configuration")</f>
        <v>Covered</v>
      </c>
    </row>
    <row r="8" customFormat="false" ht="28.5" hidden="false" customHeight="true" outlineLevel="0" collapsed="false">
      <c r="A8" s="5" t="s">
        <v>388</v>
      </c>
      <c r="B8" s="6" t="s">
        <v>1584</v>
      </c>
      <c r="C8" s="6" t="s">
        <v>387</v>
      </c>
      <c r="D8" s="6" t="s">
        <v>1574</v>
      </c>
      <c r="E8" s="7" t="n">
        <f aca="false">COUNTIF(Test_Cases!$F$2:$F$200,"*"&amp;A8&amp;"*")</f>
        <v>1</v>
      </c>
      <c r="F8" s="6" t="s">
        <v>383</v>
      </c>
      <c r="G8" s="6" t="s">
        <v>1585</v>
      </c>
      <c r="H8" s="9"/>
      <c r="I8" s="6" t="str">
        <f aca="false">IF(E8&gt;0,"Covered","Framework configuration")</f>
        <v>Covered</v>
      </c>
    </row>
    <row r="9" customFormat="false" ht="28.5" hidden="false" customHeight="true" outlineLevel="0" collapsed="false">
      <c r="A9" s="10" t="s">
        <v>428</v>
      </c>
      <c r="B9" s="11" t="s">
        <v>1586</v>
      </c>
      <c r="C9" s="11" t="s">
        <v>427</v>
      </c>
      <c r="D9" s="11" t="s">
        <v>1571</v>
      </c>
      <c r="E9" s="12" t="n">
        <f aca="false">COUNTIF(Test_Cases!$F$2:$F$200,"*"&amp;A9&amp;"*")</f>
        <v>1</v>
      </c>
      <c r="F9" s="11" t="s">
        <v>424</v>
      </c>
      <c r="G9" s="11" t="s">
        <v>1587</v>
      </c>
      <c r="H9" s="9"/>
      <c r="I9" s="11" t="str">
        <f aca="false">IF(E9&gt;0,"Covered","Framework configuration")</f>
        <v>Covered</v>
      </c>
    </row>
    <row r="10" customFormat="false" ht="28.5" hidden="false" customHeight="true" outlineLevel="0" collapsed="false">
      <c r="A10" s="5" t="s">
        <v>534</v>
      </c>
      <c r="B10" s="6" t="s">
        <v>1588</v>
      </c>
      <c r="C10" s="6" t="s">
        <v>533</v>
      </c>
      <c r="D10" s="6" t="s">
        <v>1571</v>
      </c>
      <c r="E10" s="7" t="n">
        <f aca="false">COUNTIF(Test_Cases!$F$2:$F$200,"*"&amp;A10&amp;"*")</f>
        <v>1</v>
      </c>
      <c r="F10" s="6" t="s">
        <v>530</v>
      </c>
      <c r="G10" s="6" t="s">
        <v>1589</v>
      </c>
      <c r="H10" s="9"/>
      <c r="I10" s="6" t="str">
        <f aca="false">IF(E10&gt;0,"Covered","Framework configuration")</f>
        <v>Covered</v>
      </c>
    </row>
    <row r="11" customFormat="false" ht="28.5" hidden="false" customHeight="true" outlineLevel="0" collapsed="false">
      <c r="A11" s="10" t="s">
        <v>561</v>
      </c>
      <c r="B11" s="11" t="s">
        <v>1590</v>
      </c>
      <c r="C11" s="11" t="s">
        <v>560</v>
      </c>
      <c r="D11" s="11" t="s">
        <v>1571</v>
      </c>
      <c r="E11" s="12" t="n">
        <f aca="false">COUNTIF(Test_Cases!$F$2:$F$200,"*"&amp;A11&amp;"*")</f>
        <v>1</v>
      </c>
      <c r="F11" s="11" t="s">
        <v>557</v>
      </c>
      <c r="G11" s="11" t="s">
        <v>1591</v>
      </c>
      <c r="H11" s="9"/>
      <c r="I11" s="11" t="str">
        <f aca="false">IF(E11&gt;0,"Covered","Framework configuration")</f>
        <v>Covered</v>
      </c>
    </row>
    <row r="12" customFormat="false" ht="28.5" hidden="false" customHeight="true" outlineLevel="0" collapsed="false">
      <c r="A12" s="5" t="s">
        <v>595</v>
      </c>
      <c r="B12" s="6" t="s">
        <v>1592</v>
      </c>
      <c r="C12" s="6" t="s">
        <v>594</v>
      </c>
      <c r="D12" s="6" t="s">
        <v>1571</v>
      </c>
      <c r="E12" s="7" t="n">
        <f aca="false">COUNTIF(Test_Cases!$F$2:$F$200,"*"&amp;A12&amp;"*")</f>
        <v>1</v>
      </c>
      <c r="F12" s="6" t="s">
        <v>591</v>
      </c>
      <c r="G12" s="6" t="s">
        <v>1593</v>
      </c>
      <c r="H12" s="9"/>
      <c r="I12" s="6" t="str">
        <f aca="false">IF(E12&gt;0,"Covered","Framework configuration")</f>
        <v>Covered</v>
      </c>
    </row>
    <row r="13" customFormat="false" ht="28.5" hidden="false" customHeight="true" outlineLevel="0" collapsed="false">
      <c r="A13" s="10" t="s">
        <v>509</v>
      </c>
      <c r="B13" s="11" t="s">
        <v>1594</v>
      </c>
      <c r="C13" s="11" t="s">
        <v>1595</v>
      </c>
      <c r="D13" s="11" t="s">
        <v>1571</v>
      </c>
      <c r="E13" s="12" t="n">
        <f aca="false">COUNTIF(Test_Cases!$F$2:$F$200,"*"&amp;A13&amp;"*")</f>
        <v>3</v>
      </c>
      <c r="F13" s="11" t="s">
        <v>1596</v>
      </c>
      <c r="G13" s="11" t="s">
        <v>1597</v>
      </c>
      <c r="H13" s="9"/>
      <c r="I13" s="11" t="str">
        <f aca="false">IF(E13&gt;0,"Covered","Framework configuration")</f>
        <v>Covered</v>
      </c>
    </row>
    <row r="14" customFormat="false" ht="28.5" hidden="false" customHeight="true" outlineLevel="0" collapsed="false">
      <c r="A14" s="5" t="s">
        <v>642</v>
      </c>
      <c r="B14" s="6" t="s">
        <v>1598</v>
      </c>
      <c r="C14" s="6" t="s">
        <v>641</v>
      </c>
      <c r="D14" s="6" t="s">
        <v>1571</v>
      </c>
      <c r="E14" s="7" t="n">
        <f aca="false">COUNTIF(Test_Cases!$F$2:$F$200,"*"&amp;A14&amp;"*")</f>
        <v>4</v>
      </c>
      <c r="F14" s="6" t="s">
        <v>1490</v>
      </c>
      <c r="G14" s="6" t="s">
        <v>1599</v>
      </c>
      <c r="H14" s="9"/>
      <c r="I14" s="6" t="str">
        <f aca="false">IF(E14&gt;0,"Covered","Framework configuration")</f>
        <v>Covered</v>
      </c>
    </row>
    <row r="15" customFormat="false" ht="28.5" hidden="false" customHeight="true" outlineLevel="0" collapsed="false">
      <c r="A15" s="10" t="s">
        <v>668</v>
      </c>
      <c r="B15" s="11" t="s">
        <v>1600</v>
      </c>
      <c r="C15" s="11" t="s">
        <v>667</v>
      </c>
      <c r="D15" s="11" t="s">
        <v>1571</v>
      </c>
      <c r="E15" s="12" t="n">
        <f aca="false">COUNTIF(Test_Cases!$F$2:$F$200,"*"&amp;A15&amp;"*")</f>
        <v>1</v>
      </c>
      <c r="F15" s="11" t="s">
        <v>664</v>
      </c>
      <c r="G15" s="11" t="s">
        <v>1601</v>
      </c>
      <c r="H15" s="9"/>
      <c r="I15" s="11" t="str">
        <f aca="false">IF(E15&gt;0,"Covered","Framework configuration")</f>
        <v>Covered</v>
      </c>
    </row>
    <row r="16" customFormat="false" ht="28.5" hidden="false" customHeight="true" outlineLevel="0" collapsed="false">
      <c r="A16" s="5" t="s">
        <v>699</v>
      </c>
      <c r="B16" s="6" t="s">
        <v>1602</v>
      </c>
      <c r="C16" s="6" t="s">
        <v>698</v>
      </c>
      <c r="D16" s="6" t="s">
        <v>1574</v>
      </c>
      <c r="E16" s="7" t="n">
        <f aca="false">COUNTIF(Test_Cases!$F$2:$F$200,"*"&amp;A16&amp;"*")</f>
        <v>1</v>
      </c>
      <c r="F16" s="6" t="s">
        <v>695</v>
      </c>
      <c r="G16" s="6" t="s">
        <v>1603</v>
      </c>
      <c r="H16" s="9"/>
      <c r="I16" s="6" t="str">
        <f aca="false">IF(E16&gt;0,"Covered","Framework configuration")</f>
        <v>Covered</v>
      </c>
    </row>
    <row r="17" customFormat="false" ht="16.5" hidden="false" customHeight="true" outlineLevel="0" collapsed="false">
      <c r="A17" s="10" t="s">
        <v>207</v>
      </c>
      <c r="B17" s="11" t="s">
        <v>1604</v>
      </c>
      <c r="C17" s="11" t="s">
        <v>803</v>
      </c>
      <c r="D17" s="11" t="s">
        <v>1574</v>
      </c>
      <c r="E17" s="12" t="n">
        <f aca="false">COUNTIF(Test_Cases!$F$2:$F$200,"*"&amp;A17&amp;"*")</f>
        <v>3</v>
      </c>
      <c r="F17" s="11" t="s">
        <v>1605</v>
      </c>
      <c r="G17" s="11" t="s">
        <v>1606</v>
      </c>
      <c r="H17" s="9"/>
      <c r="I17" s="11" t="str">
        <f aca="false">IF(E17&gt;0,"Covered","Framework configuration")</f>
        <v>Covered</v>
      </c>
    </row>
    <row r="18" customFormat="false" ht="28.5" hidden="false" customHeight="true" outlineLevel="0" collapsed="false">
      <c r="A18" s="5" t="s">
        <v>789</v>
      </c>
      <c r="B18" s="6" t="s">
        <v>1607</v>
      </c>
      <c r="C18" s="6" t="s">
        <v>788</v>
      </c>
      <c r="D18" s="6" t="s">
        <v>1571</v>
      </c>
      <c r="E18" s="7" t="n">
        <f aca="false">COUNTIF(Test_Cases!$F$2:$F$200,"*"&amp;A18&amp;"*")</f>
        <v>2</v>
      </c>
      <c r="F18" s="6" t="s">
        <v>1516</v>
      </c>
      <c r="G18" s="6" t="s">
        <v>1608</v>
      </c>
      <c r="H18" s="9"/>
      <c r="I18" s="6" t="str">
        <f aca="false">IF(E18&gt;0,"Covered","Framework configuration")</f>
        <v>Covered</v>
      </c>
    </row>
    <row r="19" customFormat="false" ht="28.5" hidden="false" customHeight="true" outlineLevel="0" collapsed="false">
      <c r="A19" s="10" t="s">
        <v>231</v>
      </c>
      <c r="B19" s="11" t="s">
        <v>1609</v>
      </c>
      <c r="C19" s="11" t="s">
        <v>230</v>
      </c>
      <c r="D19" s="11" t="s">
        <v>1574</v>
      </c>
      <c r="E19" s="12" t="n">
        <f aca="false">COUNTIF(Test_Cases!$F$2:$F$200,"*"&amp;A19&amp;"*")</f>
        <v>4</v>
      </c>
      <c r="F19" s="11" t="s">
        <v>1431</v>
      </c>
      <c r="G19" s="11" t="s">
        <v>1610</v>
      </c>
      <c r="H19" s="9"/>
      <c r="I19" s="11" t="str">
        <f aca="false">IF(E19&gt;0,"Covered","Framework configuration")</f>
        <v>Covered</v>
      </c>
    </row>
    <row r="20" customFormat="false" ht="28.5" hidden="false" customHeight="true" outlineLevel="0" collapsed="false">
      <c r="A20" s="5" t="s">
        <v>1524</v>
      </c>
      <c r="B20" s="6" t="s">
        <v>1611</v>
      </c>
      <c r="C20" s="6" t="s">
        <v>1522</v>
      </c>
      <c r="D20" s="6" t="s">
        <v>1571</v>
      </c>
      <c r="E20" s="7" t="n">
        <f aca="false">COUNTIF(Test_Cases!$F$2:$F$200,"*"&amp;A20&amp;"*")</f>
        <v>3</v>
      </c>
      <c r="F20" s="6" t="s">
        <v>1526</v>
      </c>
      <c r="G20" s="6" t="s">
        <v>1612</v>
      </c>
      <c r="H20" s="9"/>
      <c r="I20" s="6" t="str">
        <f aca="false">IF(E20&gt;0,"Covered","Framework configuration")</f>
        <v>Covered</v>
      </c>
    </row>
    <row r="21" customFormat="false" ht="28.5" hidden="false" customHeight="true" outlineLevel="0" collapsed="false">
      <c r="A21" s="10" t="s">
        <v>1553</v>
      </c>
      <c r="B21" s="11" t="s">
        <v>1613</v>
      </c>
      <c r="C21" s="11" t="s">
        <v>1550</v>
      </c>
      <c r="D21" s="11" t="s">
        <v>1551</v>
      </c>
      <c r="E21" s="12" t="n">
        <f aca="false">COUNTIF(Test_Cases!$F$2:$F$200,"*"&amp;A21&amp;"*")</f>
        <v>0</v>
      </c>
      <c r="F21" s="11" t="s">
        <v>1614</v>
      </c>
      <c r="G21" s="11" t="s">
        <v>1615</v>
      </c>
      <c r="H21" s="9"/>
      <c r="I21" s="11" t="str">
        <f aca="false">IF(E21&gt;0,"Covered","Framework configuration")</f>
        <v>Framework configuration</v>
      </c>
    </row>
    <row r="23" customFormat="false" ht="15" hidden="false" customHeight="false" outlineLevel="0" collapsed="false">
      <c r="A23" s="14" t="s">
        <v>1616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4" min="2" style="0" width="12"/>
    <col collapsed="false" customWidth="true" hidden="false" outlineLevel="0" max="6" min="5" style="0" width="16"/>
    <col collapsed="false" customWidth="true" hidden="false" outlineLevel="0" max="7" min="7" style="0" width="40"/>
  </cols>
  <sheetData>
    <row r="1" customFormat="false" ht="17.35" hidden="false" customHeight="false" outlineLevel="0" collapsed="false">
      <c r="A1" s="13" t="s">
        <v>1617</v>
      </c>
    </row>
    <row r="2" customFormat="false" ht="15" hidden="false" customHeight="false" outlineLevel="0" collapsed="false">
      <c r="A2" s="14" t="s">
        <v>1618</v>
      </c>
    </row>
    <row r="4" customFormat="false" ht="30" hidden="false" customHeight="true" outlineLevel="0" collapsed="false">
      <c r="A4" s="4" t="s">
        <v>31</v>
      </c>
      <c r="B4" s="4" t="s">
        <v>1619</v>
      </c>
      <c r="C4" s="4" t="s">
        <v>1620</v>
      </c>
      <c r="D4" s="4" t="s">
        <v>1621</v>
      </c>
      <c r="E4" s="4" t="s">
        <v>1622</v>
      </c>
      <c r="F4" s="4" t="s">
        <v>1623</v>
      </c>
      <c r="G4" s="4" t="s">
        <v>1153</v>
      </c>
    </row>
    <row r="5" customFormat="false" ht="15" hidden="false" customHeight="false" outlineLevel="0" collapsed="false">
      <c r="A5" s="5" t="s">
        <v>52</v>
      </c>
      <c r="B5" s="24" t="n">
        <v>6</v>
      </c>
      <c r="C5" s="24" t="n">
        <v>8</v>
      </c>
      <c r="D5" s="7" t="n">
        <f aca="false">COUNTIF(Test_Cases!$B$2:$B$200,A5)</f>
        <v>8</v>
      </c>
      <c r="E5" s="25" t="n">
        <f aca="false">D5-B5</f>
        <v>2</v>
      </c>
      <c r="F5" s="25" t="n">
        <f aca="false">D5-C5</f>
        <v>0</v>
      </c>
      <c r="G5" s="7" t="str">
        <f aca="false">IF(D5&gt;=B5,"Meets minimum","Below minimum")</f>
        <v>Meets minimum</v>
      </c>
    </row>
    <row r="6" customFormat="false" ht="15" hidden="false" customHeight="false" outlineLevel="0" collapsed="false">
      <c r="A6" s="5" t="s">
        <v>167</v>
      </c>
      <c r="B6" s="24" t="n">
        <v>4</v>
      </c>
      <c r="C6" s="24" t="n">
        <v>6</v>
      </c>
      <c r="D6" s="7" t="n">
        <f aca="false">COUNTIF(Test_Cases!$B$2:$B$200,A6)</f>
        <v>6</v>
      </c>
      <c r="E6" s="25" t="n">
        <f aca="false">D6-B6</f>
        <v>2</v>
      </c>
      <c r="F6" s="25" t="n">
        <f aca="false">D6-C6</f>
        <v>0</v>
      </c>
      <c r="G6" s="7" t="str">
        <f aca="false">IF(D6&gt;=B6,"Meets minimum","Below minimum")</f>
        <v>Meets minimum</v>
      </c>
    </row>
    <row r="7" customFormat="false" ht="15" hidden="false" customHeight="false" outlineLevel="0" collapsed="false">
      <c r="A7" s="5" t="s">
        <v>242</v>
      </c>
      <c r="B7" s="24" t="n">
        <v>8</v>
      </c>
      <c r="C7" s="24" t="n">
        <v>8</v>
      </c>
      <c r="D7" s="7" t="n">
        <f aca="false">COUNTIF(Test_Cases!$B$2:$B$200,A7)</f>
        <v>8</v>
      </c>
      <c r="E7" s="25" t="n">
        <f aca="false">D7-B7</f>
        <v>0</v>
      </c>
      <c r="F7" s="25" t="n">
        <f aca="false">D7-C7</f>
        <v>0</v>
      </c>
      <c r="G7" s="7" t="str">
        <f aca="false">IF(D7&gt;=B7,"Meets minimum","Below minimum")</f>
        <v>Meets minimum</v>
      </c>
    </row>
    <row r="8" customFormat="false" ht="15" hidden="false" customHeight="false" outlineLevel="0" collapsed="false">
      <c r="A8" s="5" t="s">
        <v>328</v>
      </c>
      <c r="B8" s="24" t="n">
        <v>5</v>
      </c>
      <c r="C8" s="24" t="n">
        <v>6</v>
      </c>
      <c r="D8" s="7" t="n">
        <f aca="false">COUNTIF(Test_Cases!$B$2:$B$200,A8)</f>
        <v>6</v>
      </c>
      <c r="E8" s="25" t="n">
        <f aca="false">D8-B8</f>
        <v>1</v>
      </c>
      <c r="F8" s="25" t="n">
        <f aca="false">D8-C8</f>
        <v>0</v>
      </c>
      <c r="G8" s="7" t="str">
        <f aca="false">IF(D8&gt;=B8,"Meets minimum","Below minimum")</f>
        <v>Meets minimum</v>
      </c>
    </row>
    <row r="9" customFormat="false" ht="15" hidden="false" customHeight="false" outlineLevel="0" collapsed="false">
      <c r="A9" s="5" t="s">
        <v>384</v>
      </c>
      <c r="B9" s="24" t="n">
        <v>6</v>
      </c>
      <c r="C9" s="24" t="n">
        <v>6</v>
      </c>
      <c r="D9" s="7" t="n">
        <f aca="false">COUNTIF(Test_Cases!$B$2:$B$200,A9)</f>
        <v>6</v>
      </c>
      <c r="E9" s="25" t="n">
        <f aca="false">D9-B9</f>
        <v>0</v>
      </c>
      <c r="F9" s="25" t="n">
        <f aca="false">D9-C9</f>
        <v>0</v>
      </c>
      <c r="G9" s="7" t="str">
        <f aca="false">IF(D9&gt;=B9,"Meets minimum","Below minimum")</f>
        <v>Meets minimum</v>
      </c>
    </row>
    <row r="10" customFormat="false" ht="15" hidden="false" customHeight="false" outlineLevel="0" collapsed="false">
      <c r="A10" s="5" t="s">
        <v>461</v>
      </c>
      <c r="B10" s="24" t="n">
        <v>6</v>
      </c>
      <c r="C10" s="24" t="n">
        <v>7</v>
      </c>
      <c r="D10" s="7" t="n">
        <f aca="false">COUNTIF(Test_Cases!$B$2:$B$200,A10)</f>
        <v>7</v>
      </c>
      <c r="E10" s="25" t="n">
        <f aca="false">D10-B10</f>
        <v>1</v>
      </c>
      <c r="F10" s="25" t="n">
        <f aca="false">D10-C10</f>
        <v>0</v>
      </c>
      <c r="G10" s="7" t="str">
        <f aca="false">IF(D10&gt;=B10,"Meets minimum","Below minimum")</f>
        <v>Meets minimum</v>
      </c>
    </row>
    <row r="11" customFormat="false" ht="15" hidden="false" customHeight="false" outlineLevel="0" collapsed="false">
      <c r="A11" s="5" t="s">
        <v>544</v>
      </c>
      <c r="B11" s="24" t="n">
        <v>5</v>
      </c>
      <c r="C11" s="24" t="n">
        <v>7</v>
      </c>
      <c r="D11" s="7" t="n">
        <f aca="false">COUNTIF(Test_Cases!$B$2:$B$200,A11)</f>
        <v>7</v>
      </c>
      <c r="E11" s="25" t="n">
        <f aca="false">D11-B11</f>
        <v>2</v>
      </c>
      <c r="F11" s="25" t="n">
        <f aca="false">D11-C11</f>
        <v>0</v>
      </c>
      <c r="G11" s="7" t="str">
        <f aca="false">IF(D11&gt;=B11,"Meets minimum","Below minimum")</f>
        <v>Meets minimum</v>
      </c>
    </row>
    <row r="12" customFormat="false" ht="15" hidden="false" customHeight="false" outlineLevel="0" collapsed="false">
      <c r="A12" s="5" t="s">
        <v>625</v>
      </c>
      <c r="B12" s="24" t="n">
        <v>7</v>
      </c>
      <c r="C12" s="24" t="n">
        <v>9</v>
      </c>
      <c r="D12" s="7" t="n">
        <f aca="false">COUNTIF(Test_Cases!$B$2:$B$200,A12)</f>
        <v>9</v>
      </c>
      <c r="E12" s="25" t="n">
        <f aca="false">D12-B12</f>
        <v>2</v>
      </c>
      <c r="F12" s="25" t="n">
        <f aca="false">D12-C12</f>
        <v>0</v>
      </c>
      <c r="G12" s="7" t="str">
        <f aca="false">IF(D12&gt;=B12,"Meets minimum","Below minimum")</f>
        <v>Meets minimum</v>
      </c>
    </row>
    <row r="13" customFormat="false" ht="15" hidden="false" customHeight="false" outlineLevel="0" collapsed="false">
      <c r="A13" s="5" t="s">
        <v>720</v>
      </c>
      <c r="B13" s="24" t="n">
        <v>4</v>
      </c>
      <c r="C13" s="24" t="n">
        <v>7</v>
      </c>
      <c r="D13" s="7" t="n">
        <f aca="false">COUNTIF(Test_Cases!$B$2:$B$200,A13)</f>
        <v>7</v>
      </c>
      <c r="E13" s="25" t="n">
        <f aca="false">D13-B13</f>
        <v>3</v>
      </c>
      <c r="F13" s="25" t="n">
        <f aca="false">D13-C13</f>
        <v>0</v>
      </c>
      <c r="G13" s="7" t="str">
        <f aca="false">IF(D13&gt;=B13,"Meets minimum","Below minimum")</f>
        <v>Meets minimum</v>
      </c>
    </row>
    <row r="14" customFormat="false" ht="15" hidden="false" customHeight="false" outlineLevel="0" collapsed="false">
      <c r="A14" s="5" t="s">
        <v>800</v>
      </c>
      <c r="B14" s="24" t="n">
        <v>5</v>
      </c>
      <c r="C14" s="24" t="n">
        <v>7</v>
      </c>
      <c r="D14" s="7" t="n">
        <f aca="false">COUNTIF(Test_Cases!$B$2:$B$200,A14)</f>
        <v>7</v>
      </c>
      <c r="E14" s="25" t="n">
        <f aca="false">D14-B14</f>
        <v>2</v>
      </c>
      <c r="F14" s="25" t="n">
        <f aca="false">D14-C14</f>
        <v>0</v>
      </c>
      <c r="G14" s="7" t="str">
        <f aca="false">IF(D14&gt;=B14,"Meets minimum","Below minimum")</f>
        <v>Meets minimum</v>
      </c>
    </row>
    <row r="15" customFormat="false" ht="15" hidden="false" customHeight="false" outlineLevel="0" collapsed="false">
      <c r="A15" s="5" t="s">
        <v>883</v>
      </c>
      <c r="B15" s="24" t="n">
        <v>8</v>
      </c>
      <c r="C15" s="24" t="n">
        <v>10</v>
      </c>
      <c r="D15" s="7" t="n">
        <f aca="false">COUNTIF(Test_Cases!$B$2:$B$200,A15)</f>
        <v>10</v>
      </c>
      <c r="E15" s="25" t="n">
        <f aca="false">D15-B15</f>
        <v>2</v>
      </c>
      <c r="F15" s="25" t="n">
        <f aca="false">D15-C15</f>
        <v>0</v>
      </c>
      <c r="G15" s="7" t="str">
        <f aca="false">IF(D15&gt;=B15,"Meets minimum","Below minimum")</f>
        <v>Meets minimum</v>
      </c>
    </row>
    <row r="16" customFormat="false" ht="15" hidden="false" customHeight="false" outlineLevel="0" collapsed="false">
      <c r="A16" s="26" t="s">
        <v>1624</v>
      </c>
      <c r="B16" s="27" t="n">
        <f aca="false">SUM(B5:B15)</f>
        <v>64</v>
      </c>
      <c r="C16" s="27" t="n">
        <f aca="false">SUM(C5:C15)</f>
        <v>81</v>
      </c>
      <c r="D16" s="27" t="n">
        <f aca="false">SUM(D5:D15)</f>
        <v>81</v>
      </c>
      <c r="E16" s="28" t="n">
        <f aca="false">D16-B16</f>
        <v>17</v>
      </c>
      <c r="F16" s="28" t="n">
        <f aca="false">D16-C16</f>
        <v>0</v>
      </c>
      <c r="G16" s="29" t="str">
        <f aca="false">IF(D16&gt;=B16,"Meets minimum","Below minimum")</f>
        <v>Meets minimum</v>
      </c>
    </row>
    <row r="18" customFormat="false" ht="30" hidden="false" customHeight="true" outlineLevel="0" collapsed="false">
      <c r="A18" s="4" t="s">
        <v>1625</v>
      </c>
      <c r="B18" s="4" t="s">
        <v>1626</v>
      </c>
      <c r="C18" s="4" t="s">
        <v>1627</v>
      </c>
    </row>
    <row r="19" customFormat="false" ht="15" hidden="false" customHeight="false" outlineLevel="0" collapsed="false">
      <c r="A19" s="5" t="s">
        <v>59</v>
      </c>
      <c r="B19" s="7" t="n">
        <f aca="false">COUNTIF(Test_Cases!$I$2:$I$200,"P1")</f>
        <v>35</v>
      </c>
      <c r="C19" s="30" t="n">
        <f aca="false">IF($D$16=0,0,B19/$D$16)</f>
        <v>0.432098765432099</v>
      </c>
    </row>
    <row r="20" customFormat="false" ht="15" hidden="false" customHeight="false" outlineLevel="0" collapsed="false">
      <c r="A20" s="5" t="s">
        <v>103</v>
      </c>
      <c r="B20" s="7" t="n">
        <f aca="false">COUNTIF(Test_Cases!$I$2:$I$200,"P2")</f>
        <v>21</v>
      </c>
      <c r="C20" s="30" t="n">
        <f aca="false">IF($D$16=0,0,B20/$D$16)</f>
        <v>0.259259259259259</v>
      </c>
    </row>
    <row r="21" customFormat="false" ht="15" hidden="false" customHeight="false" outlineLevel="0" collapsed="false">
      <c r="A21" s="5" t="s">
        <v>89</v>
      </c>
      <c r="B21" s="7" t="n">
        <f aca="false">COUNTIF(Test_Cases!$I$2:$I$200,"P3")</f>
        <v>25</v>
      </c>
      <c r="C21" s="30" t="n">
        <f aca="false">IF($D$16=0,0,B21/$D$16)</f>
        <v>0.308641975308642</v>
      </c>
    </row>
    <row r="23" customFormat="false" ht="30" hidden="false" customHeight="true" outlineLevel="0" collapsed="false">
      <c r="A23" s="4" t="s">
        <v>1628</v>
      </c>
      <c r="B23" s="4" t="s">
        <v>1626</v>
      </c>
      <c r="C23" s="4" t="s">
        <v>1627</v>
      </c>
    </row>
    <row r="24" customFormat="false" ht="15" hidden="false" customHeight="false" outlineLevel="0" collapsed="false">
      <c r="A24" s="5" t="s">
        <v>57</v>
      </c>
      <c r="B24" s="7" t="n">
        <f aca="false">COUNTIF(Test_Cases!$G$2:$G$200,"UI")</f>
        <v>41</v>
      </c>
      <c r="C24" s="30" t="n">
        <f aca="false">IF($D$16=0,0,B24/$D$16)</f>
        <v>0.506172839506173</v>
      </c>
    </row>
    <row r="25" customFormat="false" ht="15" hidden="false" customHeight="false" outlineLevel="0" collapsed="false">
      <c r="A25" s="5" t="s">
        <v>887</v>
      </c>
      <c r="B25" s="7" t="n">
        <f aca="false">COUNTIF(Test_Cases!$G$2:$G$200,"API")</f>
        <v>8</v>
      </c>
      <c r="C25" s="30" t="n">
        <f aca="false">IF($D$16=0,0,B25/$D$16)</f>
        <v>0.0987654320987654</v>
      </c>
    </row>
    <row r="26" customFormat="false" ht="15" hidden="false" customHeight="false" outlineLevel="0" collapsed="false">
      <c r="A26" s="5" t="s">
        <v>128</v>
      </c>
      <c r="B26" s="7" t="n">
        <f aca="false">COUNTIF(Test_Cases!$G$2:$G$200,"UI + API")</f>
        <v>32</v>
      </c>
      <c r="C26" s="30" t="n">
        <f aca="false">IF($D$16=0,0,B26/$D$16)</f>
        <v>0.395061728395062</v>
      </c>
    </row>
    <row r="28" customFormat="false" ht="30" hidden="false" customHeight="true" outlineLevel="0" collapsed="false">
      <c r="A28" s="4" t="s">
        <v>1629</v>
      </c>
      <c r="B28" s="4" t="s">
        <v>1626</v>
      </c>
      <c r="C28" s="4" t="s">
        <v>1627</v>
      </c>
    </row>
    <row r="29" customFormat="false" ht="15" hidden="false" customHeight="false" outlineLevel="0" collapsed="false">
      <c r="A29" s="5" t="s">
        <v>58</v>
      </c>
      <c r="B29" s="7" t="n">
        <f aca="false">COUNTIF(Test_Cases!$H$2:$H$200,"Smoke")</f>
        <v>10</v>
      </c>
      <c r="C29" s="30" t="n">
        <f aca="false">IF($D$16=0,0,B29/$D$16)</f>
        <v>0.123456790123457</v>
      </c>
    </row>
    <row r="30" customFormat="false" ht="15" hidden="false" customHeight="false" outlineLevel="0" collapsed="false">
      <c r="A30" s="5" t="s">
        <v>195</v>
      </c>
      <c r="B30" s="7" t="n">
        <f aca="false">COUNTIF(Test_Cases!$H$2:$H$200,"Functional")</f>
        <v>17</v>
      </c>
      <c r="C30" s="30" t="n">
        <f aca="false">IF($D$16=0,0,B30/$D$16)</f>
        <v>0.209876543209877</v>
      </c>
    </row>
    <row r="31" customFormat="false" ht="15" hidden="false" customHeight="false" outlineLevel="0" collapsed="false">
      <c r="A31" s="5" t="s">
        <v>88</v>
      </c>
      <c r="B31" s="7" t="n">
        <f aca="false">COUNTIF(Test_Cases!$H$2:$H$200,"Negative")</f>
        <v>29</v>
      </c>
      <c r="C31" s="30" t="n">
        <f aca="false">IF($D$16=0,0,B31/$D$16)</f>
        <v>0.358024691358025</v>
      </c>
    </row>
    <row r="32" customFormat="false" ht="15" hidden="false" customHeight="false" outlineLevel="0" collapsed="false">
      <c r="A32" s="5" t="s">
        <v>142</v>
      </c>
      <c r="B32" s="7" t="n">
        <f aca="false">COUNTIF(Test_Cases!$H$2:$H$200,"Boundary")</f>
        <v>13</v>
      </c>
      <c r="C32" s="30" t="n">
        <f aca="false">IF($D$16=0,0,B32/$D$16)</f>
        <v>0.160493827160494</v>
      </c>
    </row>
    <row r="33" customFormat="false" ht="15" hidden="false" customHeight="false" outlineLevel="0" collapsed="false">
      <c r="A33" s="5" t="s">
        <v>232</v>
      </c>
      <c r="B33" s="7" t="n">
        <f aca="false">COUNTIF(Test_Cases!$H$2:$H$200,"Reconciliation")</f>
        <v>8</v>
      </c>
      <c r="C33" s="30" t="n">
        <f aca="false">IF($D$16=0,0,B33/$D$16)</f>
        <v>0.0987654320987654</v>
      </c>
    </row>
    <row r="34" customFormat="false" ht="15" hidden="false" customHeight="false" outlineLevel="0" collapsed="false">
      <c r="A34" s="5" t="s">
        <v>102</v>
      </c>
      <c r="B34" s="7" t="n">
        <f aca="false">COUNTIF(Test_Cases!$H$2:$H$200,"Authorization")</f>
        <v>3</v>
      </c>
      <c r="C34" s="30" t="n">
        <f aca="false">IF($D$16=0,0,B34/$D$16)</f>
        <v>0.037037037037037</v>
      </c>
    </row>
    <row r="35" customFormat="false" ht="15" hidden="false" customHeight="false" outlineLevel="0" collapsed="false">
      <c r="A35" s="5" t="s">
        <v>828</v>
      </c>
      <c r="B35" s="7" t="n">
        <f aca="false">COUNTIF(Test_Cases!$H$2:$H$200,"E2E")</f>
        <v>1</v>
      </c>
      <c r="C35" s="30" t="n">
        <f aca="false">IF($D$16=0,0,B35/$D$16)</f>
        <v>0.0123456790123457</v>
      </c>
    </row>
    <row r="37" customFormat="false" ht="30" hidden="false" customHeight="true" outlineLevel="0" collapsed="false">
      <c r="A37" s="4" t="s">
        <v>1630</v>
      </c>
      <c r="B37" s="4" t="s">
        <v>1626</v>
      </c>
      <c r="C37" s="4" t="s">
        <v>1627</v>
      </c>
    </row>
    <row r="38" customFormat="false" ht="15" hidden="false" customHeight="false" outlineLevel="0" collapsed="false">
      <c r="A38" s="5" t="s">
        <v>1631</v>
      </c>
      <c r="B38" s="7" t="n">
        <f aca="false">COUNTIF(Test_Cases!$K$2:$K$200,"*@smoke*")</f>
        <v>11</v>
      </c>
      <c r="C38" s="30" t="n">
        <f aca="false">IF($D$16=0,0,B38/$D$16)</f>
        <v>0.135802469135802</v>
      </c>
    </row>
    <row r="39" customFormat="false" ht="15" hidden="false" customHeight="false" outlineLevel="0" collapsed="false">
      <c r="A39" s="5" t="s">
        <v>1632</v>
      </c>
      <c r="B39" s="7" t="n">
        <f aca="false">COUNTIF(Test_Cases!$K$2:$K$200,"*@regression*")</f>
        <v>81</v>
      </c>
      <c r="C39" s="30" t="n">
        <f aca="false">IF($D$16=0,0,B39/$D$16)</f>
        <v>1</v>
      </c>
    </row>
    <row r="40" customFormat="false" ht="15" hidden="false" customHeight="false" outlineLevel="0" collapsed="false">
      <c r="A40" s="5" t="s">
        <v>1633</v>
      </c>
      <c r="B40" s="7" t="n">
        <f aca="false">COUNTIF(Test_Cases!$K$2:$K$200,"*@e2e*")</f>
        <v>1</v>
      </c>
      <c r="C40" s="30" t="n">
        <f aca="false">IF($D$16=0,0,B40/$D$16)</f>
        <v>0.0123456790123457</v>
      </c>
    </row>
    <row r="41" customFormat="false" ht="15" hidden="false" customHeight="false" outlineLevel="0" collapsed="false">
      <c r="A41" s="5" t="s">
        <v>1634</v>
      </c>
      <c r="B41" s="7" t="n">
        <f aca="false">COUNTIF(Test_Cases!$K$2:$K$200,"*@api*")</f>
        <v>40</v>
      </c>
      <c r="C41" s="30" t="n">
        <f aca="false">IF($D$16=0,0,B41/$D$16)</f>
        <v>0.493827160493827</v>
      </c>
    </row>
    <row r="43" customFormat="false" ht="30" hidden="false" customHeight="true" outlineLevel="0" collapsed="false">
      <c r="A43" s="4" t="s">
        <v>1635</v>
      </c>
      <c r="B43" s="4" t="s">
        <v>1626</v>
      </c>
      <c r="C43" s="4" t="s">
        <v>1627</v>
      </c>
    </row>
    <row r="44" customFormat="false" ht="15" hidden="false" customHeight="false" outlineLevel="0" collapsed="false">
      <c r="A44" s="5" t="s">
        <v>70</v>
      </c>
      <c r="B44" s="7" t="n">
        <f aca="false">COUNTIF(Test_Cases!$U$2:$U$200,"Ready")</f>
        <v>68</v>
      </c>
      <c r="C44" s="30" t="n">
        <f aca="false">IF($D$16=0,0,B44/$D$16)</f>
        <v>0.839506172839506</v>
      </c>
    </row>
    <row r="45" customFormat="false" ht="15" hidden="false" customHeight="false" outlineLevel="0" collapsed="false">
      <c r="A45" s="5" t="s">
        <v>152</v>
      </c>
      <c r="B45" s="7" t="n">
        <f aca="false">COUNTIF(Test_Cases!$U$2:$U$200,"Needs confirmation")</f>
        <v>13</v>
      </c>
      <c r="C45" s="30" t="n">
        <f aca="false">IF($D$16=0,0,B45/$D$16)</f>
        <v>0.160493827160494</v>
      </c>
    </row>
    <row r="46" customFormat="false" ht="15" hidden="false" customHeight="false" outlineLevel="0" collapsed="false">
      <c r="A46" s="5" t="s">
        <v>1636</v>
      </c>
      <c r="B46" s="7" t="n">
        <f aca="false">COUNTIF(Test_Cases!$U$2:$U$200,"Automated")</f>
        <v>0</v>
      </c>
      <c r="C46" s="30" t="n">
        <f aca="false">IF($D$16=0,0,B46/$D$16)</f>
        <v>0</v>
      </c>
    </row>
    <row r="47" customFormat="false" ht="15" hidden="false" customHeight="false" outlineLevel="0" collapsed="false">
      <c r="A47" s="5" t="s">
        <v>1637</v>
      </c>
      <c r="B47" s="7" t="n">
        <f aca="false">COUNTIF(Test_Cases!$U$2:$U$200,"Manual only")</f>
        <v>0</v>
      </c>
      <c r="C47" s="30" t="n">
        <f aca="false">IF($D$16=0,0,B47/$D$16)</f>
        <v>0</v>
      </c>
    </row>
    <row r="49" customFormat="false" ht="30" hidden="false" customHeight="true" outlineLevel="0" collapsed="false">
      <c r="A49" s="4" t="s">
        <v>1638</v>
      </c>
      <c r="B49" s="4" t="s">
        <v>1626</v>
      </c>
      <c r="C49" s="4" t="s">
        <v>1627</v>
      </c>
    </row>
    <row r="50" customFormat="false" ht="15" hidden="false" customHeight="false" outlineLevel="0" collapsed="false">
      <c r="A50" s="5" t="s">
        <v>71</v>
      </c>
      <c r="B50" s="7" t="n">
        <f aca="false">COUNTIF(Test_Cases!$V$2:$V$200,"Not run")</f>
        <v>81</v>
      </c>
      <c r="C50" s="30" t="n">
        <f aca="false">IF($D$16=0,0,B50/$D$16)</f>
        <v>1</v>
      </c>
    </row>
    <row r="51" customFormat="false" ht="15" hidden="false" customHeight="false" outlineLevel="0" collapsed="false">
      <c r="A51" s="5" t="s">
        <v>1639</v>
      </c>
      <c r="B51" s="7" t="n">
        <f aca="false">COUNTIF(Test_Cases!$V$2:$V$200,"Pass")</f>
        <v>0</v>
      </c>
      <c r="C51" s="30" t="n">
        <f aca="false">IF($D$16=0,0,B51/$D$16)</f>
        <v>0</v>
      </c>
    </row>
    <row r="52" customFormat="false" ht="15" hidden="false" customHeight="false" outlineLevel="0" collapsed="false">
      <c r="A52" s="5" t="s">
        <v>1640</v>
      </c>
      <c r="B52" s="7" t="n">
        <f aca="false">COUNTIF(Test_Cases!$V$2:$V$200,"Fail")</f>
        <v>0</v>
      </c>
      <c r="C52" s="30" t="n">
        <f aca="false">IF($D$16=0,0,B52/$D$16)</f>
        <v>0</v>
      </c>
    </row>
    <row r="53" customFormat="false" ht="15" hidden="false" customHeight="false" outlineLevel="0" collapsed="false">
      <c r="A53" s="5" t="s">
        <v>1641</v>
      </c>
      <c r="B53" s="7" t="n">
        <f aca="false">COUNTIF(Test_Cases!$V$2:$V$200,"Blocked")</f>
        <v>0</v>
      </c>
      <c r="C53" s="30" t="n">
        <f aca="false">IF($D$16=0,0,B53/$D$16)</f>
        <v>0</v>
      </c>
    </row>
    <row r="54" customFormat="false" ht="15" hidden="false" customHeight="false" outlineLevel="0" collapsed="false">
      <c r="A54" s="5" t="s">
        <v>1642</v>
      </c>
      <c r="B54" s="7" t="n">
        <f aca="false">COUNTIF(Test_Cases!$V$2:$V$200,"Skipped")</f>
        <v>0</v>
      </c>
      <c r="C54" s="30" t="n">
        <f aca="false">IF($D$16=0,0,B54/$D$16)</f>
        <v>0</v>
      </c>
    </row>
    <row r="56" customFormat="false" ht="30" hidden="false" customHeight="true" outlineLevel="0" collapsed="false">
      <c r="A56" s="4" t="s">
        <v>1643</v>
      </c>
      <c r="B56" s="4" t="s">
        <v>1626</v>
      </c>
      <c r="C56" s="4" t="s">
        <v>1627</v>
      </c>
    </row>
    <row r="57" customFormat="false" ht="15" hidden="false" customHeight="false" outlineLevel="0" collapsed="false">
      <c r="A57" s="5" t="s">
        <v>1644</v>
      </c>
      <c r="B57" s="7" t="n">
        <f aca="false">COUNTIF(Test_Cases!$X$2:$X$200,"Expected seeded (candidate)")</f>
        <v>0</v>
      </c>
      <c r="C57" s="30" t="n">
        <f aca="false">IF($D$16=0,0,B57/$D$16)</f>
        <v>0</v>
      </c>
    </row>
    <row r="58" customFormat="false" ht="15" hidden="false" customHeight="false" outlineLevel="0" collapsed="false">
      <c r="A58" s="5" t="s">
        <v>1645</v>
      </c>
      <c r="B58" s="7" t="n">
        <f aca="false">COUNTIF(Test_Cases!$X$2:$X$200,"Unexpected")</f>
        <v>0</v>
      </c>
      <c r="C58" s="30" t="n">
        <f aca="false">IF($D$16=0,0,B58/$D$16)</f>
        <v>0</v>
      </c>
    </row>
    <row r="59" customFormat="false" ht="15" hidden="false" customHeight="false" outlineLevel="0" collapsed="false">
      <c r="A59" s="5" t="s">
        <v>1646</v>
      </c>
      <c r="B59" s="7" t="n">
        <f aca="false">COUNTIF(Test_Cases!$X$2:$X$200,"Automation issue")</f>
        <v>0</v>
      </c>
      <c r="C59" s="30" t="n">
        <f aca="false">IF($D$16=0,0,B59/$D$16)</f>
        <v>0</v>
      </c>
    </row>
    <row r="60" customFormat="false" ht="15" hidden="false" customHeight="false" outlineLevel="0" collapsed="false">
      <c r="A60" s="5" t="s">
        <v>1647</v>
      </c>
      <c r="B60" s="7" t="n">
        <f aca="false">COUNTIF(Test_Cases!$X$2:$X$200,"Environment/data")</f>
        <v>0</v>
      </c>
      <c r="C60" s="30" t="n">
        <f aca="false">IF($D$16=0,0,B60/$D$16)</f>
        <v>0</v>
      </c>
    </row>
    <row r="62" customFormat="false" ht="30" hidden="false" customHeight="true" outlineLevel="0" collapsed="false">
      <c r="A62" s="4" t="s">
        <v>1648</v>
      </c>
      <c r="B62" s="4" t="s">
        <v>1649</v>
      </c>
      <c r="C62" s="4" t="s">
        <v>1624</v>
      </c>
      <c r="D62" s="4" t="s">
        <v>1650</v>
      </c>
    </row>
    <row r="63" customFormat="false" ht="15" hidden="false" customHeight="false" outlineLevel="0" collapsed="false">
      <c r="A63" s="5" t="s">
        <v>1651</v>
      </c>
      <c r="B63" s="7" t="n">
        <f aca="false">COUNTIFS(Traceability_Risk!$D$2:$D$63,"P1",Traceability_Risk!$H$2:$H$63,"&gt;0")</f>
        <v>14</v>
      </c>
      <c r="C63" s="7" t="n">
        <f aca="false">COUNTIF(Traceability_Risk!$D$2:$D$63,"P1")</f>
        <v>14</v>
      </c>
      <c r="D63" s="7" t="n">
        <f aca="false">C63-B63</f>
        <v>0</v>
      </c>
    </row>
    <row r="64" customFormat="false" ht="15" hidden="false" customHeight="false" outlineLevel="0" collapsed="false">
      <c r="A64" s="5" t="s">
        <v>1652</v>
      </c>
      <c r="B64" s="7" t="n">
        <f aca="false">COUNTIFS(Traceability_Risk!$J$2:$J$63,"Test cases",Traceability_Risk!$H$2:$H$63,"&gt;0")</f>
        <v>52</v>
      </c>
      <c r="C64" s="7" t="n">
        <f aca="false">COUNTIF(Traceability_Risk!$J$2:$J$63,"Test cases")</f>
        <v>52</v>
      </c>
      <c r="D64" s="7" t="n">
        <f aca="false">C64-B64</f>
        <v>0</v>
      </c>
    </row>
    <row r="65" customFormat="false" ht="15" hidden="false" customHeight="false" outlineLevel="0" collapsed="false">
      <c r="A65" s="5" t="s">
        <v>1653</v>
      </c>
      <c r="B65" s="7" t="n">
        <f aca="false">COUNTIF(Traceability_SDC!$E$2:$E$21,"&gt;0")</f>
        <v>19</v>
      </c>
      <c r="C65" s="7" t="n">
        <f aca="false">COUNTA(Traceability_SDC!$A$2:$A$21)</f>
        <v>20</v>
      </c>
      <c r="D65" s="7" t="n">
        <f aca="false">C65-B65</f>
        <v>1</v>
      </c>
    </row>
    <row r="67" customFormat="false" ht="15" hidden="false" customHeight="false" outlineLevel="0" collapsed="false">
      <c r="A67" s="14" t="s">
        <v>1654</v>
      </c>
    </row>
  </sheetData>
  <conditionalFormatting sqref="G5:G16">
    <cfRule type="expression" priority="2" aboveAverage="0" equalAverage="0" bottom="0" percent="0" rank="0" text="" dxfId="13">
      <formula>G5="Below minimum"</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12"/>
    <col collapsed="false" customWidth="true" hidden="false" outlineLevel="0" max="4" min="4" style="0" width="62"/>
    <col collapsed="false" customWidth="true" hidden="false" outlineLevel="0" max="5" min="5" style="0" width="14"/>
    <col collapsed="false" customWidth="true" hidden="false" outlineLevel="0" max="6" min="6" style="0" width="12"/>
    <col collapsed="false" customWidth="true" hidden="false" outlineLevel="0" max="7" min="7" style="0" width="46"/>
  </cols>
  <sheetData>
    <row r="1" customFormat="false" ht="30" hidden="false" customHeight="true" outlineLevel="0" collapsed="false">
      <c r="A1" s="4" t="s">
        <v>1175</v>
      </c>
      <c r="B1" s="4" t="s">
        <v>1655</v>
      </c>
      <c r="C1" s="4" t="s">
        <v>1656</v>
      </c>
      <c r="D1" s="4" t="s">
        <v>1657</v>
      </c>
      <c r="E1" s="4" t="s">
        <v>1003</v>
      </c>
      <c r="F1" s="4" t="s">
        <v>1658</v>
      </c>
      <c r="G1" s="4" t="s">
        <v>1659</v>
      </c>
    </row>
    <row r="2" customFormat="false" ht="16.5" hidden="false" customHeight="true" outlineLevel="0" collapsed="false">
      <c r="A2" s="5" t="s">
        <v>1660</v>
      </c>
      <c r="B2" s="6" t="s">
        <v>1661</v>
      </c>
      <c r="C2" s="6" t="s">
        <v>1662</v>
      </c>
      <c r="D2" s="6" t="s">
        <v>1663</v>
      </c>
      <c r="E2" s="8" t="s">
        <v>1664</v>
      </c>
      <c r="F2" s="7" t="n">
        <f aca="false">COUNTIF(Test_Cases!$S$2:$S$200,"*"&amp;A2&amp;"*")</f>
        <v>0</v>
      </c>
      <c r="G2" s="6" t="s">
        <v>1665</v>
      </c>
    </row>
    <row r="3" customFormat="false" ht="28.5" hidden="false" customHeight="true" outlineLevel="0" collapsed="false">
      <c r="A3" s="5" t="s">
        <v>1666</v>
      </c>
      <c r="B3" s="6" t="s">
        <v>1667</v>
      </c>
      <c r="C3" s="6" t="s">
        <v>1668</v>
      </c>
      <c r="D3" s="6" t="s">
        <v>1669</v>
      </c>
      <c r="E3" s="8" t="s">
        <v>1664</v>
      </c>
      <c r="F3" s="7" t="n">
        <f aca="false">COUNTIF(Test_Cases!$S$2:$S$200,"*"&amp;A3&amp;"*")</f>
        <v>0</v>
      </c>
      <c r="G3" s="6" t="s">
        <v>1670</v>
      </c>
    </row>
    <row r="4" customFormat="false" ht="28.5" hidden="false" customHeight="true" outlineLevel="0" collapsed="false">
      <c r="A4" s="5" t="s">
        <v>1671</v>
      </c>
      <c r="B4" s="6" t="s">
        <v>1672</v>
      </c>
      <c r="C4" s="6" t="s">
        <v>1673</v>
      </c>
      <c r="D4" s="6" t="s">
        <v>1674</v>
      </c>
      <c r="E4" s="8" t="s">
        <v>1036</v>
      </c>
      <c r="F4" s="7" t="n">
        <f aca="false">COUNTIF(Test_Cases!$S$2:$S$200,"*"&amp;A4&amp;"*")</f>
        <v>0</v>
      </c>
      <c r="G4" s="6" t="s">
        <v>1675</v>
      </c>
    </row>
    <row r="5" customFormat="false" ht="28.5" hidden="false" customHeight="true" outlineLevel="0" collapsed="false">
      <c r="A5" s="5" t="s">
        <v>1676</v>
      </c>
      <c r="B5" s="6" t="s">
        <v>1677</v>
      </c>
      <c r="C5" s="6" t="s">
        <v>1678</v>
      </c>
      <c r="D5" s="6" t="s">
        <v>1679</v>
      </c>
      <c r="E5" s="8" t="s">
        <v>1680</v>
      </c>
      <c r="F5" s="7" t="n">
        <f aca="false">COUNTIF(Test_Cases!$S$2:$S$200,"*"&amp;A5&amp;"*")</f>
        <v>0</v>
      </c>
      <c r="G5" s="6" t="s">
        <v>1681</v>
      </c>
    </row>
    <row r="6" customFormat="false" ht="28.5" hidden="false" customHeight="true" outlineLevel="0" collapsed="false">
      <c r="A6" s="5" t="s">
        <v>1682</v>
      </c>
      <c r="B6" s="6" t="s">
        <v>1683</v>
      </c>
      <c r="C6" s="6" t="s">
        <v>1684</v>
      </c>
      <c r="D6" s="6" t="s">
        <v>1685</v>
      </c>
      <c r="E6" s="8" t="s">
        <v>1664</v>
      </c>
      <c r="F6" s="7" t="n">
        <f aca="false">COUNTIF(Test_Cases!$S$2:$S$200,"*"&amp;A6&amp;"*")</f>
        <v>0</v>
      </c>
      <c r="G6" s="6" t="s">
        <v>1686</v>
      </c>
    </row>
    <row r="7" customFormat="false" ht="28.5" hidden="false" customHeight="true" outlineLevel="0" collapsed="false">
      <c r="A7" s="5" t="s">
        <v>1687</v>
      </c>
      <c r="B7" s="6" t="s">
        <v>1688</v>
      </c>
      <c r="C7" s="6" t="s">
        <v>1689</v>
      </c>
      <c r="D7" s="6" t="s">
        <v>1690</v>
      </c>
      <c r="E7" s="8" t="s">
        <v>1664</v>
      </c>
      <c r="F7" s="7" t="n">
        <f aca="false">COUNTIF(Test_Cases!$S$2:$S$200,"*"&amp;A7&amp;"*")</f>
        <v>0</v>
      </c>
      <c r="G7" s="6" t="s">
        <v>1691</v>
      </c>
    </row>
    <row r="8" customFormat="false" ht="16.5" hidden="false" customHeight="true" outlineLevel="0" collapsed="false">
      <c r="A8" s="5" t="s">
        <v>1692</v>
      </c>
      <c r="B8" s="6" t="s">
        <v>1693</v>
      </c>
      <c r="C8" s="6" t="s">
        <v>1689</v>
      </c>
      <c r="D8" s="6" t="s">
        <v>1694</v>
      </c>
      <c r="E8" s="8" t="s">
        <v>1664</v>
      </c>
      <c r="F8" s="7" t="n">
        <f aca="false">COUNTIF(Test_Cases!$S$2:$S$200,"*"&amp;A8&amp;"*")</f>
        <v>0</v>
      </c>
      <c r="G8" s="6" t="s">
        <v>1695</v>
      </c>
    </row>
    <row r="9" customFormat="false" ht="28.5" hidden="false" customHeight="true" outlineLevel="0" collapsed="false">
      <c r="A9" s="5" t="s">
        <v>1696</v>
      </c>
      <c r="B9" s="6" t="s">
        <v>1078</v>
      </c>
      <c r="C9" s="6" t="s">
        <v>1689</v>
      </c>
      <c r="D9" s="6" t="s">
        <v>1697</v>
      </c>
      <c r="E9" s="8" t="s">
        <v>1664</v>
      </c>
      <c r="F9" s="7" t="n">
        <f aca="false">COUNTIF(Test_Cases!$S$2:$S$200,"*"&amp;A9&amp;"*")</f>
        <v>0</v>
      </c>
      <c r="G9" s="6" t="s">
        <v>1038</v>
      </c>
    </row>
    <row r="10" customFormat="false" ht="28.5" hidden="false" customHeight="true" outlineLevel="0" collapsed="false">
      <c r="A10" s="5" t="s">
        <v>748</v>
      </c>
      <c r="B10" s="6" t="s">
        <v>1698</v>
      </c>
      <c r="C10" s="6" t="s">
        <v>1689</v>
      </c>
      <c r="D10" s="6" t="s">
        <v>1699</v>
      </c>
      <c r="E10" s="8" t="s">
        <v>1680</v>
      </c>
      <c r="F10" s="7" t="n">
        <f aca="false">COUNTIF(Test_Cases!$S$2:$S$200,"*"&amp;A10&amp;"*")</f>
        <v>1</v>
      </c>
      <c r="G10" s="6" t="s">
        <v>1700</v>
      </c>
    </row>
    <row r="11" customFormat="false" ht="16.5" hidden="false" customHeight="true" outlineLevel="0" collapsed="false">
      <c r="A11" s="5" t="s">
        <v>1701</v>
      </c>
      <c r="B11" s="6" t="s">
        <v>1277</v>
      </c>
      <c r="C11" s="6" t="s">
        <v>1689</v>
      </c>
      <c r="D11" s="6" t="s">
        <v>1702</v>
      </c>
      <c r="E11" s="8" t="s">
        <v>1664</v>
      </c>
      <c r="F11" s="7" t="n">
        <f aca="false">COUNTIF(Test_Cases!$S$2:$S$200,"*"&amp;A11&amp;"*")</f>
        <v>0</v>
      </c>
      <c r="G11" s="6" t="s">
        <v>1038</v>
      </c>
    </row>
    <row r="12" customFormat="false" ht="28.5" hidden="false" customHeight="true" outlineLevel="0" collapsed="false">
      <c r="A12" s="5" t="s">
        <v>438</v>
      </c>
      <c r="B12" s="6" t="s">
        <v>1703</v>
      </c>
      <c r="C12" s="6" t="s">
        <v>1689</v>
      </c>
      <c r="D12" s="6" t="s">
        <v>1704</v>
      </c>
      <c r="E12" s="8" t="s">
        <v>1680</v>
      </c>
      <c r="F12" s="7" t="n">
        <f aca="false">COUNTIF(Test_Cases!$S$2:$S$200,"*"&amp;A12&amp;"*")</f>
        <v>2</v>
      </c>
      <c r="G12" s="6" t="s">
        <v>1705</v>
      </c>
    </row>
    <row r="13" customFormat="false" ht="28.5" hidden="false" customHeight="true" outlineLevel="0" collapsed="false">
      <c r="A13" s="5" t="s">
        <v>1706</v>
      </c>
      <c r="B13" s="6" t="s">
        <v>1707</v>
      </c>
      <c r="C13" s="6" t="s">
        <v>1689</v>
      </c>
      <c r="D13" s="6" t="s">
        <v>1708</v>
      </c>
      <c r="E13" s="8" t="s">
        <v>1664</v>
      </c>
      <c r="F13" s="7" t="n">
        <f aca="false">COUNTIF(Test_Cases!$S$2:$S$200,"*"&amp;A13&amp;"*")</f>
        <v>0</v>
      </c>
      <c r="G13" s="6" t="s">
        <v>1038</v>
      </c>
    </row>
    <row r="14" customFormat="false" ht="28.5" hidden="false" customHeight="true" outlineLevel="0" collapsed="false">
      <c r="A14" s="5" t="s">
        <v>398</v>
      </c>
      <c r="B14" s="6" t="s">
        <v>1709</v>
      </c>
      <c r="C14" s="6" t="s">
        <v>1710</v>
      </c>
      <c r="D14" s="6" t="s">
        <v>1711</v>
      </c>
      <c r="E14" s="8" t="s">
        <v>1680</v>
      </c>
      <c r="F14" s="7" t="n">
        <f aca="false">COUNTIF(Test_Cases!$S$2:$S$200,"*"&amp;A14&amp;"*")</f>
        <v>1</v>
      </c>
      <c r="G14" s="6" t="s">
        <v>1712</v>
      </c>
    </row>
    <row r="15" customFormat="false" ht="28.5" hidden="false" customHeight="true" outlineLevel="0" collapsed="false">
      <c r="A15" s="5" t="s">
        <v>151</v>
      </c>
      <c r="B15" s="6" t="s">
        <v>1713</v>
      </c>
      <c r="C15" s="6" t="s">
        <v>1714</v>
      </c>
      <c r="D15" s="6" t="s">
        <v>1715</v>
      </c>
      <c r="E15" s="8" t="s">
        <v>1680</v>
      </c>
      <c r="F15" s="7" t="n">
        <f aca="false">COUNTIF(Test_Cases!$S$2:$S$200,"*"&amp;A15&amp;"*")</f>
        <v>1</v>
      </c>
      <c r="G15" s="6" t="s">
        <v>1716</v>
      </c>
    </row>
    <row r="16" customFormat="false" ht="28.5" hidden="false" customHeight="true" outlineLevel="0" collapsed="false">
      <c r="A16" s="5" t="s">
        <v>225</v>
      </c>
      <c r="B16" s="6" t="s">
        <v>1717</v>
      </c>
      <c r="C16" s="6" t="s">
        <v>1718</v>
      </c>
      <c r="D16" s="6" t="s">
        <v>1719</v>
      </c>
      <c r="E16" s="8" t="s">
        <v>1680</v>
      </c>
      <c r="F16" s="7" t="n">
        <f aca="false">COUNTIF(Test_Cases!$S$2:$S$200,"*"&amp;A16&amp;"*")</f>
        <v>6</v>
      </c>
      <c r="G16" s="6" t="s">
        <v>1720</v>
      </c>
    </row>
    <row r="17" customFormat="false" ht="16.5" hidden="false" customHeight="true" outlineLevel="0" collapsed="false">
      <c r="A17" s="5" t="s">
        <v>1721</v>
      </c>
      <c r="B17" s="6" t="s">
        <v>1722</v>
      </c>
      <c r="C17" s="6" t="s">
        <v>1723</v>
      </c>
      <c r="D17" s="6" t="s">
        <v>1724</v>
      </c>
      <c r="E17" s="8" t="s">
        <v>1664</v>
      </c>
      <c r="F17" s="7" t="n">
        <f aca="false">COUNTIF(Test_Cases!$S$2:$S$200,"*"&amp;A17&amp;"*")</f>
        <v>0</v>
      </c>
      <c r="G17" s="6" t="s">
        <v>1038</v>
      </c>
    </row>
    <row r="18" customFormat="false" ht="16.5" hidden="false" customHeight="true" outlineLevel="0" collapsed="false">
      <c r="A18" s="5" t="s">
        <v>1725</v>
      </c>
      <c r="B18" s="6" t="s">
        <v>1726</v>
      </c>
      <c r="C18" s="6" t="s">
        <v>1727</v>
      </c>
      <c r="D18" s="6" t="s">
        <v>1728</v>
      </c>
      <c r="E18" s="8" t="s">
        <v>1664</v>
      </c>
      <c r="F18" s="7" t="n">
        <f aca="false">COUNTIF(Test_Cases!$S$2:$S$200,"*"&amp;A18&amp;"*")</f>
        <v>0</v>
      </c>
      <c r="G18" s="6" t="s">
        <v>1729</v>
      </c>
    </row>
    <row r="19" customFormat="false" ht="28.5" hidden="false" customHeight="true" outlineLevel="0" collapsed="false">
      <c r="A19" s="5" t="s">
        <v>918</v>
      </c>
      <c r="B19" s="6" t="s">
        <v>1730</v>
      </c>
      <c r="C19" s="6" t="s">
        <v>1731</v>
      </c>
      <c r="D19" s="6" t="s">
        <v>1732</v>
      </c>
      <c r="E19" s="8" t="s">
        <v>1680</v>
      </c>
      <c r="F19" s="7" t="n">
        <f aca="false">COUNTIF(Test_Cases!$S$2:$S$200,"*"&amp;A19&amp;"*")</f>
        <v>2</v>
      </c>
      <c r="G19" s="6" t="s">
        <v>1733</v>
      </c>
    </row>
  </sheetData>
  <conditionalFormatting sqref="E2:E19">
    <cfRule type="cellIs" priority="2" operator="equal" aboveAverage="0" equalAverage="0" bottom="0" percent="0" rank="0" text="" dxfId="12">
      <formula>"Closed"</formula>
    </cfRule>
    <cfRule type="cellIs" priority="3" operator="equal" aboveAverage="0" equalAverage="0" bottom="0" percent="0" rank="0" text="" dxfId="14">
      <formula>"In progress"</formula>
    </cfRule>
    <cfRule type="cellIs" priority="4" operator="equal" aboveAverage="0" equalAverage="0" bottom="0" percent="0" rank="0" text="" dxfId="13">
      <formula>"Open"</formula>
    </cfRule>
    <cfRule type="cellIs" priority="5" operator="equal" aboveAverage="0" equalAverage="0" bottom="0" percent="0" rank="0" text="" dxfId="15">
      <formula>"Out of scope"</formula>
    </cfRule>
  </conditionalFormatting>
  <dataValidations count="1">
    <dataValidation allowBlank="false" errorStyle="stop" operator="between" showDropDown="false" showErrorMessage="false" showInputMessage="false" sqref="E2:E19" type="list">
      <formula1>"Open,In progress,Closed,Out of scope"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00"/>
    <col collapsed="false" customWidth="true" hidden="false" outlineLevel="0" max="4" min="4" style="0" width="40"/>
  </cols>
  <sheetData>
    <row r="1" customFormat="false" ht="30" hidden="false" customHeight="true" outlineLevel="0" collapsed="false">
      <c r="A1" s="4" t="s">
        <v>1734</v>
      </c>
      <c r="B1" s="4" t="s">
        <v>1177</v>
      </c>
      <c r="C1" s="4" t="s">
        <v>1735</v>
      </c>
      <c r="D1" s="4" t="s">
        <v>1736</v>
      </c>
    </row>
    <row r="2" customFormat="false" ht="16.5" hidden="false" customHeight="true" outlineLevel="0" collapsed="false">
      <c r="A2" s="5" t="s">
        <v>1737</v>
      </c>
      <c r="B2" s="6" t="s">
        <v>1738</v>
      </c>
      <c r="C2" s="6" t="s">
        <v>1739</v>
      </c>
      <c r="D2" s="6" t="s">
        <v>1548</v>
      </c>
    </row>
    <row r="3" customFormat="false" ht="16.5" hidden="false" customHeight="true" outlineLevel="0" collapsed="false">
      <c r="A3" s="10" t="s">
        <v>1740</v>
      </c>
      <c r="B3" s="11" t="s">
        <v>1741</v>
      </c>
      <c r="C3" s="11" t="s">
        <v>1742</v>
      </c>
      <c r="D3" s="11" t="s">
        <v>1548</v>
      </c>
    </row>
    <row r="4" customFormat="false" ht="28.5" hidden="false" customHeight="true" outlineLevel="0" collapsed="false">
      <c r="A4" s="5" t="s">
        <v>1743</v>
      </c>
      <c r="B4" s="6" t="s">
        <v>1744</v>
      </c>
      <c r="C4" s="6" t="s">
        <v>1745</v>
      </c>
      <c r="D4" s="6" t="s">
        <v>1746</v>
      </c>
    </row>
    <row r="5" customFormat="false" ht="16.5" hidden="false" customHeight="true" outlineLevel="0" collapsed="false">
      <c r="A5" s="10" t="s">
        <v>1747</v>
      </c>
      <c r="B5" s="11" t="s">
        <v>1748</v>
      </c>
      <c r="C5" s="11" t="s">
        <v>1749</v>
      </c>
      <c r="D5" s="11" t="s">
        <v>1038</v>
      </c>
    </row>
    <row r="6" customFormat="false" ht="28.5" hidden="false" customHeight="true" outlineLevel="0" collapsed="false">
      <c r="A6" s="5" t="s">
        <v>1750</v>
      </c>
      <c r="B6" s="6" t="s">
        <v>1751</v>
      </c>
      <c r="C6" s="6" t="s">
        <v>1752</v>
      </c>
      <c r="D6" s="6" t="s">
        <v>1753</v>
      </c>
    </row>
    <row r="7" customFormat="false" ht="28.5" hidden="false" customHeight="true" outlineLevel="0" collapsed="false">
      <c r="A7" s="10" t="s">
        <v>1754</v>
      </c>
      <c r="B7" s="11" t="s">
        <v>1755</v>
      </c>
      <c r="C7" s="11" t="s">
        <v>1756</v>
      </c>
      <c r="D7" s="11" t="s">
        <v>154</v>
      </c>
    </row>
    <row r="8" customFormat="false" ht="41.25" hidden="false" customHeight="true" outlineLevel="0" collapsed="false">
      <c r="A8" s="5" t="s">
        <v>1757</v>
      </c>
      <c r="B8" s="6" t="s">
        <v>1758</v>
      </c>
      <c r="C8" s="6" t="s">
        <v>1759</v>
      </c>
      <c r="D8" s="6" t="s">
        <v>1760</v>
      </c>
    </row>
    <row r="9" customFormat="false" ht="41.25" hidden="false" customHeight="true" outlineLevel="0" collapsed="false">
      <c r="A9" s="10" t="s">
        <v>1761</v>
      </c>
      <c r="B9" s="11" t="s">
        <v>1762</v>
      </c>
      <c r="C9" s="11" t="s">
        <v>1763</v>
      </c>
      <c r="D9" s="11" t="s">
        <v>1764</v>
      </c>
    </row>
    <row r="10" customFormat="false" ht="28.5" hidden="false" customHeight="true" outlineLevel="0" collapsed="false">
      <c r="A10" s="5" t="s">
        <v>1765</v>
      </c>
      <c r="B10" s="6" t="s">
        <v>1766</v>
      </c>
      <c r="C10" s="6" t="s">
        <v>1767</v>
      </c>
      <c r="D10" s="6" t="s">
        <v>218</v>
      </c>
    </row>
    <row r="11" customFormat="false" ht="16.5" hidden="false" customHeight="true" outlineLevel="0" collapsed="false">
      <c r="A11" s="10" t="s">
        <v>1768</v>
      </c>
      <c r="B11" s="11" t="s">
        <v>1769</v>
      </c>
      <c r="C11" s="11" t="s">
        <v>1770</v>
      </c>
      <c r="D11" s="11" t="s">
        <v>1038</v>
      </c>
    </row>
    <row r="12" customFormat="false" ht="16.5" hidden="false" customHeight="true" outlineLevel="0" collapsed="false">
      <c r="A12" s="5" t="s">
        <v>1771</v>
      </c>
      <c r="B12" s="6" t="s">
        <v>1772</v>
      </c>
      <c r="C12" s="6" t="s">
        <v>1773</v>
      </c>
      <c r="D12" s="6" t="s">
        <v>1038</v>
      </c>
    </row>
    <row r="13" customFormat="false" ht="16.5" hidden="false" customHeight="true" outlineLevel="0" collapsed="false">
      <c r="A13" s="10" t="s">
        <v>1774</v>
      </c>
      <c r="B13" s="11" t="s">
        <v>1775</v>
      </c>
      <c r="C13" s="11" t="s">
        <v>1776</v>
      </c>
      <c r="D13" s="11" t="s">
        <v>1038</v>
      </c>
    </row>
    <row r="14" customFormat="false" ht="16.5" hidden="false" customHeight="true" outlineLevel="0" collapsed="false">
      <c r="A14" s="5" t="s">
        <v>1777</v>
      </c>
      <c r="B14" s="6" t="s">
        <v>1778</v>
      </c>
      <c r="C14" s="6" t="s">
        <v>1779</v>
      </c>
      <c r="D14" s="6" t="s">
        <v>1548</v>
      </c>
    </row>
    <row r="15" customFormat="false" ht="28.5" hidden="false" customHeight="true" outlineLevel="0" collapsed="false">
      <c r="A15" s="10" t="s">
        <v>1780</v>
      </c>
      <c r="B15" s="11" t="s">
        <v>1781</v>
      </c>
      <c r="C15" s="11" t="s">
        <v>1782</v>
      </c>
      <c r="D15" s="11" t="s">
        <v>1557</v>
      </c>
    </row>
    <row r="16" customFormat="false" ht="41.25" hidden="false" customHeight="true" outlineLevel="0" collapsed="false">
      <c r="A16" s="5" t="s">
        <v>1783</v>
      </c>
      <c r="B16" s="6" t="s">
        <v>1784</v>
      </c>
      <c r="C16" s="6" t="s">
        <v>1785</v>
      </c>
      <c r="D16" s="6" t="s">
        <v>1786</v>
      </c>
    </row>
    <row r="17" customFormat="false" ht="16.5" hidden="false" customHeight="true" outlineLevel="0" collapsed="false">
      <c r="A17" s="10" t="s">
        <v>1787</v>
      </c>
      <c r="B17" s="11" t="s">
        <v>1788</v>
      </c>
      <c r="C17" s="11" t="s">
        <v>1789</v>
      </c>
      <c r="D17" s="11" t="s">
        <v>1790</v>
      </c>
    </row>
    <row r="18" customFormat="false" ht="28.5" hidden="false" customHeight="true" outlineLevel="0" collapsed="false">
      <c r="A18" s="5" t="s">
        <v>1791</v>
      </c>
      <c r="B18" s="6" t="s">
        <v>1792</v>
      </c>
      <c r="C18" s="6" t="s">
        <v>1793</v>
      </c>
      <c r="D18" s="6" t="s">
        <v>1038</v>
      </c>
    </row>
    <row r="19" customFormat="false" ht="28.5" hidden="false" customHeight="true" outlineLevel="0" collapsed="false">
      <c r="A19" s="10" t="s">
        <v>1794</v>
      </c>
      <c r="B19" s="11" t="s">
        <v>1795</v>
      </c>
      <c r="C19" s="11" t="s">
        <v>1796</v>
      </c>
      <c r="D19" s="11" t="s">
        <v>1038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8"/>
    <col collapsed="false" customWidth="true" hidden="false" outlineLevel="0" max="3" min="3" style="0" width="26"/>
    <col collapsed="false" customWidth="true" hidden="false" outlineLevel="0" max="4" min="4" style="0" width="56"/>
    <col collapsed="false" customWidth="true" hidden="false" outlineLevel="0" max="5" min="5" style="0" width="10"/>
  </cols>
  <sheetData>
    <row r="1" customFormat="false" ht="30" hidden="false" customHeight="true" outlineLevel="0" collapsed="false">
      <c r="A1" s="4" t="s">
        <v>1797</v>
      </c>
      <c r="B1" s="4" t="s">
        <v>1362</v>
      </c>
      <c r="C1" s="4" t="s">
        <v>1798</v>
      </c>
      <c r="D1" s="4" t="s">
        <v>1799</v>
      </c>
      <c r="E1" s="4" t="s">
        <v>1800</v>
      </c>
    </row>
    <row r="2" customFormat="false" ht="16.5" hidden="false" customHeight="true" outlineLevel="0" collapsed="false">
      <c r="A2" s="5" t="s">
        <v>1801</v>
      </c>
      <c r="B2" s="6" t="s">
        <v>1802</v>
      </c>
      <c r="C2" s="6" t="s">
        <v>339</v>
      </c>
      <c r="D2" s="6" t="s">
        <v>1803</v>
      </c>
      <c r="E2" s="6"/>
    </row>
    <row r="3" customFormat="false" ht="16.5" hidden="false" customHeight="true" outlineLevel="0" collapsed="false">
      <c r="A3" s="10" t="s">
        <v>1801</v>
      </c>
      <c r="B3" s="11" t="s">
        <v>1802</v>
      </c>
      <c r="C3" s="11" t="s">
        <v>339</v>
      </c>
      <c r="D3" s="11" t="s">
        <v>1804</v>
      </c>
      <c r="E3" s="11"/>
    </row>
    <row r="4" customFormat="false" ht="16.5" hidden="false" customHeight="true" outlineLevel="0" collapsed="false">
      <c r="A4" s="5" t="s">
        <v>1801</v>
      </c>
      <c r="B4" s="6" t="s">
        <v>1802</v>
      </c>
      <c r="C4" s="6" t="s">
        <v>339</v>
      </c>
      <c r="D4" s="6" t="s">
        <v>1805</v>
      </c>
      <c r="E4" s="6"/>
    </row>
    <row r="5" customFormat="false" ht="16.5" hidden="false" customHeight="true" outlineLevel="0" collapsed="false">
      <c r="A5" s="10" t="s">
        <v>1801</v>
      </c>
      <c r="B5" s="11" t="s">
        <v>1802</v>
      </c>
      <c r="C5" s="11" t="s">
        <v>339</v>
      </c>
      <c r="D5" s="11" t="s">
        <v>1806</v>
      </c>
      <c r="E5" s="11"/>
    </row>
    <row r="6" customFormat="false" ht="16.5" hidden="false" customHeight="true" outlineLevel="0" collapsed="false">
      <c r="A6" s="5" t="s">
        <v>1801</v>
      </c>
      <c r="B6" s="6" t="s">
        <v>1802</v>
      </c>
      <c r="C6" s="6" t="s">
        <v>339</v>
      </c>
      <c r="D6" s="6" t="s">
        <v>1807</v>
      </c>
      <c r="E6" s="6"/>
    </row>
    <row r="7" customFormat="false" ht="16.5" hidden="false" customHeight="true" outlineLevel="0" collapsed="false">
      <c r="A7" s="10" t="s">
        <v>1801</v>
      </c>
      <c r="B7" s="11" t="s">
        <v>1802</v>
      </c>
      <c r="C7" s="11" t="s">
        <v>339</v>
      </c>
      <c r="D7" s="11" t="s">
        <v>1808</v>
      </c>
      <c r="E7" s="11"/>
    </row>
    <row r="8" customFormat="false" ht="16.5" hidden="false" customHeight="true" outlineLevel="0" collapsed="false">
      <c r="A8" s="5" t="s">
        <v>1801</v>
      </c>
      <c r="B8" s="6" t="s">
        <v>1802</v>
      </c>
      <c r="C8" s="6" t="s">
        <v>339</v>
      </c>
      <c r="D8" s="6" t="s">
        <v>382</v>
      </c>
      <c r="E8" s="6"/>
    </row>
    <row r="9" customFormat="false" ht="16.5" hidden="false" customHeight="true" outlineLevel="0" collapsed="false">
      <c r="A9" s="10" t="s">
        <v>1801</v>
      </c>
      <c r="B9" s="11" t="s">
        <v>1802</v>
      </c>
      <c r="C9" s="11" t="s">
        <v>339</v>
      </c>
      <c r="D9" s="11" t="s">
        <v>349</v>
      </c>
      <c r="E9" s="11"/>
    </row>
    <row r="10" customFormat="false" ht="16.5" hidden="false" customHeight="true" outlineLevel="0" collapsed="false">
      <c r="A10" s="5" t="s">
        <v>1801</v>
      </c>
      <c r="B10" s="6" t="s">
        <v>1802</v>
      </c>
      <c r="C10" s="6" t="s">
        <v>339</v>
      </c>
      <c r="D10" s="6" t="s">
        <v>1809</v>
      </c>
      <c r="E10" s="6"/>
    </row>
    <row r="11" customFormat="false" ht="16.5" hidden="false" customHeight="true" outlineLevel="0" collapsed="false">
      <c r="A11" s="10" t="s">
        <v>1801</v>
      </c>
      <c r="B11" s="11" t="s">
        <v>1802</v>
      </c>
      <c r="C11" s="11" t="s">
        <v>339</v>
      </c>
      <c r="D11" s="11" t="s">
        <v>1810</v>
      </c>
      <c r="E11" s="11"/>
    </row>
    <row r="12" customFormat="false" ht="16.5" hidden="false" customHeight="true" outlineLevel="0" collapsed="false">
      <c r="A12" s="5" t="s">
        <v>1801</v>
      </c>
      <c r="B12" s="6" t="s">
        <v>1802</v>
      </c>
      <c r="C12" s="6" t="s">
        <v>339</v>
      </c>
      <c r="D12" s="6" t="s">
        <v>1811</v>
      </c>
      <c r="E12" s="6"/>
    </row>
    <row r="13" customFormat="false" ht="16.5" hidden="false" customHeight="true" outlineLevel="0" collapsed="false">
      <c r="A13" s="10" t="s">
        <v>1801</v>
      </c>
      <c r="B13" s="11" t="s">
        <v>1802</v>
      </c>
      <c r="C13" s="11" t="s">
        <v>339</v>
      </c>
      <c r="D13" s="11" t="s">
        <v>1812</v>
      </c>
      <c r="E13" s="11"/>
    </row>
    <row r="14" customFormat="false" ht="16.5" hidden="false" customHeight="true" outlineLevel="0" collapsed="false">
      <c r="A14" s="5" t="s">
        <v>1801</v>
      </c>
      <c r="B14" s="6" t="s">
        <v>1802</v>
      </c>
      <c r="C14" s="6" t="s">
        <v>339</v>
      </c>
      <c r="D14" s="6" t="s">
        <v>1813</v>
      </c>
      <c r="E14" s="6"/>
    </row>
    <row r="15" customFormat="false" ht="16.5" hidden="false" customHeight="true" outlineLevel="0" collapsed="false">
      <c r="A15" s="10" t="s">
        <v>1801</v>
      </c>
      <c r="B15" s="11" t="s">
        <v>1802</v>
      </c>
      <c r="C15" s="11" t="s">
        <v>339</v>
      </c>
      <c r="D15" s="11" t="s">
        <v>1814</v>
      </c>
      <c r="E15" s="11"/>
    </row>
    <row r="16" customFormat="false" ht="16.5" hidden="false" customHeight="true" outlineLevel="0" collapsed="false">
      <c r="A16" s="5" t="s">
        <v>1801</v>
      </c>
      <c r="B16" s="6" t="s">
        <v>1802</v>
      </c>
      <c r="C16" s="6" t="s">
        <v>339</v>
      </c>
      <c r="D16" s="6" t="s">
        <v>1815</v>
      </c>
      <c r="E16" s="6"/>
    </row>
    <row r="17" customFormat="false" ht="16.5" hidden="false" customHeight="true" outlineLevel="0" collapsed="false">
      <c r="A17" s="10" t="s">
        <v>1801</v>
      </c>
      <c r="B17" s="11" t="s">
        <v>1802</v>
      </c>
      <c r="C17" s="11" t="s">
        <v>339</v>
      </c>
      <c r="D17" s="11" t="s">
        <v>1816</v>
      </c>
      <c r="E17" s="11"/>
    </row>
    <row r="18" customFormat="false" ht="16.5" hidden="false" customHeight="true" outlineLevel="0" collapsed="false">
      <c r="A18" s="5" t="s">
        <v>1801</v>
      </c>
      <c r="B18" s="6" t="s">
        <v>1802</v>
      </c>
      <c r="C18" s="6" t="s">
        <v>339</v>
      </c>
      <c r="D18" s="6" t="s">
        <v>1817</v>
      </c>
      <c r="E18" s="6"/>
    </row>
    <row r="19" customFormat="false" ht="16.5" hidden="false" customHeight="true" outlineLevel="0" collapsed="false">
      <c r="A19" s="10" t="s">
        <v>1801</v>
      </c>
      <c r="B19" s="11" t="s">
        <v>1802</v>
      </c>
      <c r="C19" s="11" t="s">
        <v>339</v>
      </c>
      <c r="D19" s="11" t="s">
        <v>1818</v>
      </c>
      <c r="E19" s="11"/>
    </row>
    <row r="20" customFormat="false" ht="16.5" hidden="false" customHeight="true" outlineLevel="0" collapsed="false">
      <c r="A20" s="5" t="s">
        <v>1819</v>
      </c>
      <c r="B20" s="6" t="s">
        <v>1820</v>
      </c>
      <c r="C20" s="6" t="s">
        <v>177</v>
      </c>
      <c r="D20" s="6" t="s">
        <v>1821</v>
      </c>
      <c r="E20" s="6"/>
    </row>
    <row r="21" customFormat="false" ht="16.5" hidden="false" customHeight="true" outlineLevel="0" collapsed="false">
      <c r="A21" s="10" t="s">
        <v>1819</v>
      </c>
      <c r="B21" s="11" t="s">
        <v>1820</v>
      </c>
      <c r="C21" s="11" t="s">
        <v>177</v>
      </c>
      <c r="D21" s="11" t="s">
        <v>1822</v>
      </c>
      <c r="E21" s="11" t="s">
        <v>1823</v>
      </c>
    </row>
    <row r="22" customFormat="false" ht="16.5" hidden="false" customHeight="true" outlineLevel="0" collapsed="false">
      <c r="A22" s="5" t="s">
        <v>1819</v>
      </c>
      <c r="B22" s="6" t="s">
        <v>1820</v>
      </c>
      <c r="C22" s="6" t="s">
        <v>177</v>
      </c>
      <c r="D22" s="6" t="s">
        <v>1824</v>
      </c>
      <c r="E22" s="6" t="s">
        <v>1823</v>
      </c>
    </row>
    <row r="23" customFormat="false" ht="16.5" hidden="false" customHeight="true" outlineLevel="0" collapsed="false">
      <c r="A23" s="10" t="s">
        <v>1819</v>
      </c>
      <c r="B23" s="11" t="s">
        <v>1820</v>
      </c>
      <c r="C23" s="11" t="s">
        <v>177</v>
      </c>
      <c r="D23" s="11" t="s">
        <v>1825</v>
      </c>
      <c r="E23" s="11"/>
    </row>
    <row r="24" customFormat="false" ht="16.5" hidden="false" customHeight="true" outlineLevel="0" collapsed="false">
      <c r="A24" s="5" t="s">
        <v>1819</v>
      </c>
      <c r="B24" s="6" t="s">
        <v>1820</v>
      </c>
      <c r="C24" s="6" t="s">
        <v>177</v>
      </c>
      <c r="D24" s="6" t="s">
        <v>1826</v>
      </c>
      <c r="E24" s="6"/>
    </row>
    <row r="25" customFormat="false" ht="16.5" hidden="false" customHeight="true" outlineLevel="0" collapsed="false">
      <c r="A25" s="10" t="s">
        <v>1827</v>
      </c>
      <c r="B25" s="11" t="s">
        <v>1828</v>
      </c>
      <c r="C25" s="11" t="s">
        <v>1829</v>
      </c>
      <c r="D25" s="11" t="s">
        <v>1830</v>
      </c>
      <c r="E25" s="11"/>
    </row>
    <row r="26" customFormat="false" ht="16.5" hidden="false" customHeight="true" outlineLevel="0" collapsed="false">
      <c r="A26" s="5" t="s">
        <v>1827</v>
      </c>
      <c r="B26" s="6" t="s">
        <v>1828</v>
      </c>
      <c r="C26" s="6" t="s">
        <v>1829</v>
      </c>
      <c r="D26" s="6" t="s">
        <v>1831</v>
      </c>
      <c r="E26" s="6"/>
    </row>
    <row r="27" customFormat="false" ht="16.5" hidden="false" customHeight="true" outlineLevel="0" collapsed="false">
      <c r="A27" s="10" t="s">
        <v>1832</v>
      </c>
      <c r="B27" s="11" t="s">
        <v>1833</v>
      </c>
      <c r="C27" s="11" t="s">
        <v>177</v>
      </c>
      <c r="D27" s="11" t="s">
        <v>1834</v>
      </c>
      <c r="E27" s="11"/>
    </row>
    <row r="28" customFormat="false" ht="16.5" hidden="false" customHeight="true" outlineLevel="0" collapsed="false">
      <c r="A28" s="5" t="s">
        <v>1832</v>
      </c>
      <c r="B28" s="6" t="s">
        <v>1833</v>
      </c>
      <c r="C28" s="6" t="s">
        <v>177</v>
      </c>
      <c r="D28" s="6" t="s">
        <v>1835</v>
      </c>
      <c r="E28" s="6"/>
    </row>
    <row r="29" customFormat="false" ht="16.5" hidden="false" customHeight="true" outlineLevel="0" collapsed="false">
      <c r="A29" s="10" t="s">
        <v>1832</v>
      </c>
      <c r="B29" s="11" t="s">
        <v>1833</v>
      </c>
      <c r="C29" s="11" t="s">
        <v>177</v>
      </c>
      <c r="D29" s="11" t="s">
        <v>1836</v>
      </c>
      <c r="E29" s="11"/>
    </row>
    <row r="30" customFormat="false" ht="16.5" hidden="false" customHeight="true" outlineLevel="0" collapsed="false">
      <c r="A30" s="5" t="s">
        <v>1832</v>
      </c>
      <c r="B30" s="6" t="s">
        <v>1833</v>
      </c>
      <c r="C30" s="6" t="s">
        <v>177</v>
      </c>
      <c r="D30" s="6" t="s">
        <v>1837</v>
      </c>
      <c r="E30" s="6"/>
    </row>
    <row r="31" customFormat="false" ht="16.5" hidden="false" customHeight="true" outlineLevel="0" collapsed="false">
      <c r="A31" s="10" t="s">
        <v>1838</v>
      </c>
      <c r="B31" s="11" t="s">
        <v>1839</v>
      </c>
      <c r="C31" s="11" t="s">
        <v>1840</v>
      </c>
      <c r="D31" s="11" t="s">
        <v>1841</v>
      </c>
      <c r="E31" s="11"/>
    </row>
    <row r="32" customFormat="false" ht="16.5" hidden="false" customHeight="true" outlineLevel="0" collapsed="false">
      <c r="A32" s="5" t="s">
        <v>1838</v>
      </c>
      <c r="B32" s="6" t="s">
        <v>1839</v>
      </c>
      <c r="C32" s="6" t="s">
        <v>1840</v>
      </c>
      <c r="D32" s="6" t="s">
        <v>1842</v>
      </c>
      <c r="E32" s="6"/>
    </row>
    <row r="33" customFormat="false" ht="16.5" hidden="false" customHeight="true" outlineLevel="0" collapsed="false">
      <c r="A33" s="10" t="s">
        <v>1838</v>
      </c>
      <c r="B33" s="11" t="s">
        <v>1839</v>
      </c>
      <c r="C33" s="11" t="s">
        <v>1840</v>
      </c>
      <c r="D33" s="11" t="s">
        <v>1843</v>
      </c>
      <c r="E33" s="11"/>
    </row>
    <row r="34" customFormat="false" ht="16.5" hidden="false" customHeight="true" outlineLevel="0" collapsed="false">
      <c r="A34" s="5" t="s">
        <v>1838</v>
      </c>
      <c r="B34" s="6" t="s">
        <v>1839</v>
      </c>
      <c r="C34" s="6" t="s">
        <v>1840</v>
      </c>
      <c r="D34" s="6" t="s">
        <v>1844</v>
      </c>
      <c r="E34" s="6"/>
    </row>
    <row r="35" customFormat="false" ht="16.5" hidden="false" customHeight="true" outlineLevel="0" collapsed="false">
      <c r="A35" s="10" t="s">
        <v>1838</v>
      </c>
      <c r="B35" s="11" t="s">
        <v>1839</v>
      </c>
      <c r="C35" s="11" t="s">
        <v>1840</v>
      </c>
      <c r="D35" s="11" t="s">
        <v>1845</v>
      </c>
      <c r="E35" s="11"/>
    </row>
    <row r="36" customFormat="false" ht="16.5" hidden="false" customHeight="true" outlineLevel="0" collapsed="false">
      <c r="A36" s="5" t="s">
        <v>1838</v>
      </c>
      <c r="B36" s="6" t="s">
        <v>1839</v>
      </c>
      <c r="C36" s="6" t="s">
        <v>1840</v>
      </c>
      <c r="D36" s="6" t="s">
        <v>1846</v>
      </c>
      <c r="E36" s="6"/>
    </row>
    <row r="37" customFormat="false" ht="16.5" hidden="false" customHeight="true" outlineLevel="0" collapsed="false">
      <c r="A37" s="10" t="s">
        <v>1838</v>
      </c>
      <c r="B37" s="11" t="s">
        <v>1839</v>
      </c>
      <c r="C37" s="11" t="s">
        <v>1840</v>
      </c>
      <c r="D37" s="11" t="s">
        <v>1847</v>
      </c>
      <c r="E37" s="11"/>
    </row>
    <row r="38" customFormat="false" ht="16.5" hidden="false" customHeight="true" outlineLevel="0" collapsed="false">
      <c r="A38" s="5" t="s">
        <v>1838</v>
      </c>
      <c r="B38" s="6" t="s">
        <v>1839</v>
      </c>
      <c r="C38" s="6" t="s">
        <v>1840</v>
      </c>
      <c r="D38" s="6" t="s">
        <v>1848</v>
      </c>
      <c r="E38" s="6"/>
    </row>
    <row r="39" customFormat="false" ht="16.5" hidden="false" customHeight="true" outlineLevel="0" collapsed="false">
      <c r="A39" s="10" t="s">
        <v>1838</v>
      </c>
      <c r="B39" s="11" t="s">
        <v>1839</v>
      </c>
      <c r="C39" s="11" t="s">
        <v>1840</v>
      </c>
      <c r="D39" s="11" t="s">
        <v>1849</v>
      </c>
      <c r="E39" s="11"/>
    </row>
    <row r="40" customFormat="false" ht="16.5" hidden="false" customHeight="true" outlineLevel="0" collapsed="false">
      <c r="A40" s="5" t="s">
        <v>1850</v>
      </c>
      <c r="B40" s="6" t="s">
        <v>1851</v>
      </c>
      <c r="C40" s="6" t="s">
        <v>1829</v>
      </c>
      <c r="D40" s="6" t="s">
        <v>1852</v>
      </c>
      <c r="E40" s="6"/>
    </row>
    <row r="41" customFormat="false" ht="16.5" hidden="false" customHeight="true" outlineLevel="0" collapsed="false">
      <c r="A41" s="10" t="s">
        <v>1850</v>
      </c>
      <c r="B41" s="11" t="s">
        <v>1851</v>
      </c>
      <c r="C41" s="11" t="s">
        <v>1829</v>
      </c>
      <c r="D41" s="11" t="s">
        <v>1853</v>
      </c>
      <c r="E41" s="11"/>
    </row>
    <row r="42" customFormat="false" ht="16.5" hidden="false" customHeight="true" outlineLevel="0" collapsed="false">
      <c r="A42" s="5" t="s">
        <v>1850</v>
      </c>
      <c r="B42" s="6" t="s">
        <v>1851</v>
      </c>
      <c r="C42" s="6" t="s">
        <v>1829</v>
      </c>
      <c r="D42" s="6" t="s">
        <v>1854</v>
      </c>
      <c r="E42" s="6"/>
    </row>
    <row r="43" customFormat="false" ht="16.5" hidden="false" customHeight="true" outlineLevel="0" collapsed="false">
      <c r="A43" s="10" t="s">
        <v>1850</v>
      </c>
      <c r="B43" s="11" t="s">
        <v>1851</v>
      </c>
      <c r="C43" s="11" t="s">
        <v>1829</v>
      </c>
      <c r="D43" s="11" t="s">
        <v>1855</v>
      </c>
      <c r="E43" s="11"/>
    </row>
    <row r="44" customFormat="false" ht="16.5" hidden="false" customHeight="true" outlineLevel="0" collapsed="false">
      <c r="A44" s="5" t="s">
        <v>1850</v>
      </c>
      <c r="B44" s="6" t="s">
        <v>1851</v>
      </c>
      <c r="C44" s="6" t="s">
        <v>1829</v>
      </c>
      <c r="D44" s="6" t="s">
        <v>1856</v>
      </c>
      <c r="E44" s="6"/>
    </row>
    <row r="45" customFormat="false" ht="16.5" hidden="false" customHeight="true" outlineLevel="0" collapsed="false">
      <c r="A45" s="10" t="s">
        <v>1857</v>
      </c>
      <c r="B45" s="11" t="s">
        <v>1858</v>
      </c>
      <c r="C45" s="11" t="s">
        <v>83</v>
      </c>
      <c r="D45" s="11" t="s">
        <v>1859</v>
      </c>
      <c r="E45" s="11"/>
    </row>
    <row r="46" customFormat="false" ht="16.5" hidden="false" customHeight="true" outlineLevel="0" collapsed="false">
      <c r="A46" s="5" t="s">
        <v>1857</v>
      </c>
      <c r="B46" s="6" t="s">
        <v>1858</v>
      </c>
      <c r="C46" s="6" t="s">
        <v>83</v>
      </c>
      <c r="D46" s="6" t="s">
        <v>1860</v>
      </c>
      <c r="E46" s="6"/>
    </row>
    <row r="47" customFormat="false" ht="16.5" hidden="false" customHeight="true" outlineLevel="0" collapsed="false">
      <c r="A47" s="10" t="s">
        <v>1857</v>
      </c>
      <c r="B47" s="11" t="s">
        <v>1858</v>
      </c>
      <c r="C47" s="11" t="s">
        <v>83</v>
      </c>
      <c r="D47" s="11" t="s">
        <v>1861</v>
      </c>
      <c r="E47" s="11"/>
    </row>
    <row r="48" customFormat="false" ht="16.5" hidden="false" customHeight="true" outlineLevel="0" collapsed="false">
      <c r="A48" s="5" t="s">
        <v>1857</v>
      </c>
      <c r="B48" s="6" t="s">
        <v>1858</v>
      </c>
      <c r="C48" s="6" t="s">
        <v>83</v>
      </c>
      <c r="D48" s="6" t="s">
        <v>1862</v>
      </c>
      <c r="E48" s="6"/>
    </row>
    <row r="49" customFormat="false" ht="16.5" hidden="false" customHeight="true" outlineLevel="0" collapsed="false">
      <c r="A49" s="10" t="s">
        <v>1857</v>
      </c>
      <c r="B49" s="11" t="s">
        <v>1858</v>
      </c>
      <c r="C49" s="11" t="s">
        <v>83</v>
      </c>
      <c r="D49" s="11" t="s">
        <v>1863</v>
      </c>
      <c r="E49" s="11"/>
    </row>
    <row r="50" customFormat="false" ht="16.5" hidden="false" customHeight="true" outlineLevel="0" collapsed="false">
      <c r="A50" s="5" t="s">
        <v>1857</v>
      </c>
      <c r="B50" s="6" t="s">
        <v>1858</v>
      </c>
      <c r="C50" s="6" t="s">
        <v>83</v>
      </c>
      <c r="D50" s="6" t="s">
        <v>1864</v>
      </c>
      <c r="E50" s="6"/>
    </row>
    <row r="51" customFormat="false" ht="16.5" hidden="false" customHeight="true" outlineLevel="0" collapsed="false">
      <c r="A51" s="10" t="s">
        <v>1857</v>
      </c>
      <c r="B51" s="11" t="s">
        <v>1858</v>
      </c>
      <c r="C51" s="11" t="s">
        <v>83</v>
      </c>
      <c r="D51" s="11" t="s">
        <v>1865</v>
      </c>
      <c r="E51" s="11"/>
    </row>
    <row r="52" customFormat="false" ht="16.5" hidden="false" customHeight="true" outlineLevel="0" collapsed="false">
      <c r="A52" s="5" t="s">
        <v>1866</v>
      </c>
      <c r="B52" s="6" t="s">
        <v>1867</v>
      </c>
      <c r="C52" s="6" t="s">
        <v>1829</v>
      </c>
      <c r="D52" s="6" t="s">
        <v>1868</v>
      </c>
      <c r="E52" s="6"/>
    </row>
    <row r="53" customFormat="false" ht="16.5" hidden="false" customHeight="true" outlineLevel="0" collapsed="false">
      <c r="A53" s="10" t="s">
        <v>1866</v>
      </c>
      <c r="B53" s="11" t="s">
        <v>1867</v>
      </c>
      <c r="C53" s="11" t="s">
        <v>1829</v>
      </c>
      <c r="D53" s="11" t="s">
        <v>1869</v>
      </c>
      <c r="E53" s="11"/>
    </row>
    <row r="54" customFormat="false" ht="16.5" hidden="false" customHeight="true" outlineLevel="0" collapsed="false">
      <c r="A54" s="5" t="s">
        <v>1866</v>
      </c>
      <c r="B54" s="6" t="s">
        <v>1867</v>
      </c>
      <c r="C54" s="6" t="s">
        <v>1829</v>
      </c>
      <c r="D54" s="6" t="s">
        <v>1870</v>
      </c>
      <c r="E54" s="6"/>
    </row>
    <row r="55" customFormat="false" ht="16.5" hidden="false" customHeight="true" outlineLevel="0" collapsed="false">
      <c r="A55" s="10" t="s">
        <v>1866</v>
      </c>
      <c r="B55" s="11" t="s">
        <v>1867</v>
      </c>
      <c r="C55" s="11" t="s">
        <v>1829</v>
      </c>
      <c r="D55" s="11" t="s">
        <v>1871</v>
      </c>
      <c r="E55" s="11"/>
    </row>
    <row r="56" customFormat="false" ht="16.5" hidden="false" customHeight="true" outlineLevel="0" collapsed="false">
      <c r="A56" s="5" t="s">
        <v>1866</v>
      </c>
      <c r="B56" s="6" t="s">
        <v>1867</v>
      </c>
      <c r="C56" s="6" t="s">
        <v>1829</v>
      </c>
      <c r="D56" s="6" t="s">
        <v>1872</v>
      </c>
      <c r="E56" s="6"/>
    </row>
    <row r="57" customFormat="false" ht="16.5" hidden="false" customHeight="true" outlineLevel="0" collapsed="false">
      <c r="A57" s="10" t="s">
        <v>1866</v>
      </c>
      <c r="B57" s="11" t="s">
        <v>1867</v>
      </c>
      <c r="C57" s="11" t="s">
        <v>1829</v>
      </c>
      <c r="D57" s="11" t="s">
        <v>1873</v>
      </c>
      <c r="E57" s="11"/>
    </row>
    <row r="58" customFormat="false" ht="16.5" hidden="false" customHeight="true" outlineLevel="0" collapsed="false">
      <c r="A58" s="5" t="s">
        <v>1866</v>
      </c>
      <c r="B58" s="6" t="s">
        <v>1867</v>
      </c>
      <c r="C58" s="6" t="s">
        <v>1829</v>
      </c>
      <c r="D58" s="6" t="s">
        <v>1874</v>
      </c>
      <c r="E58" s="6"/>
    </row>
    <row r="59" customFormat="false" ht="16.5" hidden="false" customHeight="true" outlineLevel="0" collapsed="false">
      <c r="A59" s="10" t="s">
        <v>1866</v>
      </c>
      <c r="B59" s="11" t="s">
        <v>1867</v>
      </c>
      <c r="C59" s="11" t="s">
        <v>1829</v>
      </c>
      <c r="D59" s="11" t="s">
        <v>1875</v>
      </c>
      <c r="E59" s="11"/>
    </row>
    <row r="60" customFormat="false" ht="16.5" hidden="false" customHeight="true" outlineLevel="0" collapsed="false">
      <c r="A60" s="5" t="s">
        <v>1866</v>
      </c>
      <c r="B60" s="6" t="s">
        <v>1867</v>
      </c>
      <c r="C60" s="6" t="s">
        <v>1829</v>
      </c>
      <c r="D60" s="6" t="s">
        <v>1876</v>
      </c>
      <c r="E60" s="6"/>
    </row>
    <row r="61" customFormat="false" ht="16.5" hidden="false" customHeight="true" outlineLevel="0" collapsed="false">
      <c r="A61" s="10" t="s">
        <v>1866</v>
      </c>
      <c r="B61" s="11" t="s">
        <v>1867</v>
      </c>
      <c r="C61" s="11" t="s">
        <v>1829</v>
      </c>
      <c r="D61" s="11" t="s">
        <v>1877</v>
      </c>
      <c r="E61" s="11"/>
    </row>
    <row r="62" customFormat="false" ht="16.5" hidden="false" customHeight="true" outlineLevel="0" collapsed="false">
      <c r="A62" s="5" t="s">
        <v>1878</v>
      </c>
      <c r="B62" s="6" t="s">
        <v>1879</v>
      </c>
      <c r="C62" s="6" t="s">
        <v>1829</v>
      </c>
      <c r="D62" s="6" t="s">
        <v>1880</v>
      </c>
      <c r="E62" s="6"/>
    </row>
    <row r="63" customFormat="false" ht="16.5" hidden="false" customHeight="true" outlineLevel="0" collapsed="false">
      <c r="A63" s="10" t="s">
        <v>1878</v>
      </c>
      <c r="B63" s="11" t="s">
        <v>1879</v>
      </c>
      <c r="C63" s="11" t="s">
        <v>1829</v>
      </c>
      <c r="D63" s="11" t="s">
        <v>1881</v>
      </c>
      <c r="E63" s="11"/>
    </row>
    <row r="64" customFormat="false" ht="16.5" hidden="false" customHeight="true" outlineLevel="0" collapsed="false">
      <c r="A64" s="5" t="s">
        <v>1878</v>
      </c>
      <c r="B64" s="6" t="s">
        <v>1879</v>
      </c>
      <c r="C64" s="6" t="s">
        <v>1829</v>
      </c>
      <c r="D64" s="6" t="s">
        <v>1882</v>
      </c>
      <c r="E64" s="6"/>
    </row>
    <row r="65" customFormat="false" ht="16.5" hidden="false" customHeight="true" outlineLevel="0" collapsed="false">
      <c r="A65" s="10" t="s">
        <v>1883</v>
      </c>
      <c r="B65" s="11" t="s">
        <v>1884</v>
      </c>
      <c r="C65" s="11" t="s">
        <v>1829</v>
      </c>
      <c r="D65" s="11" t="s">
        <v>1885</v>
      </c>
      <c r="E65" s="11"/>
    </row>
    <row r="66" customFormat="false" ht="16.5" hidden="false" customHeight="true" outlineLevel="0" collapsed="false">
      <c r="A66" s="5" t="s">
        <v>1883</v>
      </c>
      <c r="B66" s="6" t="s">
        <v>1884</v>
      </c>
      <c r="C66" s="6" t="s">
        <v>1829</v>
      </c>
      <c r="D66" s="6" t="s">
        <v>1886</v>
      </c>
      <c r="E66" s="6"/>
    </row>
    <row r="67" customFormat="false" ht="16.5" hidden="false" customHeight="true" outlineLevel="0" collapsed="false">
      <c r="A67" s="10" t="s">
        <v>1883</v>
      </c>
      <c r="B67" s="11" t="s">
        <v>1884</v>
      </c>
      <c r="C67" s="11" t="s">
        <v>1829</v>
      </c>
      <c r="D67" s="11" t="s">
        <v>1887</v>
      </c>
      <c r="E67" s="11"/>
    </row>
    <row r="68" customFormat="false" ht="16.5" hidden="false" customHeight="true" outlineLevel="0" collapsed="false">
      <c r="A68" s="5" t="s">
        <v>1883</v>
      </c>
      <c r="B68" s="6" t="s">
        <v>1884</v>
      </c>
      <c r="C68" s="6" t="s">
        <v>1829</v>
      </c>
      <c r="D68" s="6" t="s">
        <v>1888</v>
      </c>
      <c r="E68" s="6"/>
    </row>
    <row r="69" customFormat="false" ht="16.5" hidden="false" customHeight="true" outlineLevel="0" collapsed="false">
      <c r="A69" s="10" t="s">
        <v>1883</v>
      </c>
      <c r="B69" s="11" t="s">
        <v>1884</v>
      </c>
      <c r="C69" s="11" t="s">
        <v>1829</v>
      </c>
      <c r="D69" s="11" t="s">
        <v>1889</v>
      </c>
      <c r="E69" s="11"/>
    </row>
    <row r="70" customFormat="false" ht="16.5" hidden="false" customHeight="true" outlineLevel="0" collapsed="false">
      <c r="A70" s="5" t="s">
        <v>1890</v>
      </c>
      <c r="B70" s="6" t="s">
        <v>1891</v>
      </c>
      <c r="C70" s="6" t="s">
        <v>1829</v>
      </c>
      <c r="D70" s="6" t="s">
        <v>1892</v>
      </c>
      <c r="E70" s="6"/>
    </row>
    <row r="71" customFormat="false" ht="16.5" hidden="false" customHeight="true" outlineLevel="0" collapsed="false">
      <c r="A71" s="10" t="s">
        <v>1890</v>
      </c>
      <c r="B71" s="11" t="s">
        <v>1891</v>
      </c>
      <c r="C71" s="11" t="s">
        <v>1829</v>
      </c>
      <c r="D71" s="11" t="s">
        <v>1893</v>
      </c>
      <c r="E71" s="11"/>
    </row>
    <row r="72" customFormat="false" ht="16.5" hidden="false" customHeight="true" outlineLevel="0" collapsed="false">
      <c r="A72" s="5" t="s">
        <v>1890</v>
      </c>
      <c r="B72" s="6" t="s">
        <v>1891</v>
      </c>
      <c r="C72" s="6" t="s">
        <v>1829</v>
      </c>
      <c r="D72" s="6" t="s">
        <v>1894</v>
      </c>
      <c r="E72" s="6"/>
    </row>
    <row r="73" customFormat="false" ht="16.5" hidden="false" customHeight="true" outlineLevel="0" collapsed="false">
      <c r="A73" s="10" t="s">
        <v>1890</v>
      </c>
      <c r="B73" s="11" t="s">
        <v>1891</v>
      </c>
      <c r="C73" s="11" t="s">
        <v>1829</v>
      </c>
      <c r="D73" s="11" t="s">
        <v>1895</v>
      </c>
      <c r="E73" s="11"/>
    </row>
    <row r="74" customFormat="false" ht="28.5" hidden="false" customHeight="true" outlineLevel="0" collapsed="false">
      <c r="A74" s="5" t="s">
        <v>1896</v>
      </c>
      <c r="B74" s="6" t="s">
        <v>1897</v>
      </c>
      <c r="C74" s="6" t="s">
        <v>636</v>
      </c>
      <c r="D74" s="6" t="s">
        <v>1898</v>
      </c>
      <c r="E74" s="6"/>
    </row>
    <row r="75" customFormat="false" ht="28.5" hidden="false" customHeight="true" outlineLevel="0" collapsed="false">
      <c r="A75" s="10" t="s">
        <v>1896</v>
      </c>
      <c r="B75" s="11" t="s">
        <v>1897</v>
      </c>
      <c r="C75" s="11" t="s">
        <v>636</v>
      </c>
      <c r="D75" s="11" t="s">
        <v>1899</v>
      </c>
      <c r="E75" s="11"/>
    </row>
    <row r="76" customFormat="false" ht="28.5" hidden="false" customHeight="true" outlineLevel="0" collapsed="false">
      <c r="A76" s="5" t="s">
        <v>1896</v>
      </c>
      <c r="B76" s="6" t="s">
        <v>1897</v>
      </c>
      <c r="C76" s="6" t="s">
        <v>636</v>
      </c>
      <c r="D76" s="6" t="s">
        <v>1900</v>
      </c>
      <c r="E76" s="6"/>
    </row>
    <row r="77" customFormat="false" ht="28.5" hidden="false" customHeight="true" outlineLevel="0" collapsed="false">
      <c r="A77" s="10" t="s">
        <v>1896</v>
      </c>
      <c r="B77" s="11" t="s">
        <v>1897</v>
      </c>
      <c r="C77" s="11" t="s">
        <v>636</v>
      </c>
      <c r="D77" s="11" t="s">
        <v>1901</v>
      </c>
      <c r="E77" s="11"/>
    </row>
    <row r="78" customFormat="false" ht="28.5" hidden="false" customHeight="true" outlineLevel="0" collapsed="false">
      <c r="A78" s="5" t="s">
        <v>1896</v>
      </c>
      <c r="B78" s="6" t="s">
        <v>1897</v>
      </c>
      <c r="C78" s="6" t="s">
        <v>636</v>
      </c>
      <c r="D78" s="6" t="s">
        <v>1902</v>
      </c>
      <c r="E78" s="6"/>
    </row>
    <row r="79" customFormat="false" ht="28.5" hidden="false" customHeight="true" outlineLevel="0" collapsed="false">
      <c r="A79" s="10" t="s">
        <v>1896</v>
      </c>
      <c r="B79" s="11" t="s">
        <v>1897</v>
      </c>
      <c r="C79" s="11" t="s">
        <v>636</v>
      </c>
      <c r="D79" s="11" t="s">
        <v>1903</v>
      </c>
      <c r="E79" s="11"/>
    </row>
    <row r="80" customFormat="false" ht="28.5" hidden="false" customHeight="true" outlineLevel="0" collapsed="false">
      <c r="A80" s="5" t="s">
        <v>1896</v>
      </c>
      <c r="B80" s="6" t="s">
        <v>1897</v>
      </c>
      <c r="C80" s="6" t="s">
        <v>636</v>
      </c>
      <c r="D80" s="6" t="s">
        <v>1904</v>
      </c>
      <c r="E80" s="6"/>
    </row>
    <row r="81" customFormat="false" ht="28.5" hidden="false" customHeight="true" outlineLevel="0" collapsed="false">
      <c r="A81" s="10" t="s">
        <v>1896</v>
      </c>
      <c r="B81" s="11" t="s">
        <v>1897</v>
      </c>
      <c r="C81" s="11" t="s">
        <v>636</v>
      </c>
      <c r="D81" s="11" t="s">
        <v>1905</v>
      </c>
      <c r="E81" s="11" t="s">
        <v>1823</v>
      </c>
    </row>
    <row r="82" customFormat="false" ht="28.5" hidden="false" customHeight="true" outlineLevel="0" collapsed="false">
      <c r="A82" s="5" t="s">
        <v>1896</v>
      </c>
      <c r="B82" s="6" t="s">
        <v>1897</v>
      </c>
      <c r="C82" s="6" t="s">
        <v>636</v>
      </c>
      <c r="D82" s="6" t="s">
        <v>1906</v>
      </c>
      <c r="E82" s="6"/>
    </row>
    <row r="83" customFormat="false" ht="28.5" hidden="false" customHeight="true" outlineLevel="0" collapsed="false">
      <c r="A83" s="10" t="s">
        <v>1896</v>
      </c>
      <c r="B83" s="11" t="s">
        <v>1897</v>
      </c>
      <c r="C83" s="11" t="s">
        <v>636</v>
      </c>
      <c r="D83" s="11" t="s">
        <v>1907</v>
      </c>
      <c r="E83" s="11"/>
    </row>
    <row r="84" customFormat="false" ht="28.5" hidden="false" customHeight="true" outlineLevel="0" collapsed="false">
      <c r="A84" s="5" t="s">
        <v>1896</v>
      </c>
      <c r="B84" s="6" t="s">
        <v>1897</v>
      </c>
      <c r="C84" s="6" t="s">
        <v>636</v>
      </c>
      <c r="D84" s="6" t="s">
        <v>1908</v>
      </c>
      <c r="E84" s="6" t="s">
        <v>1823</v>
      </c>
    </row>
    <row r="85" customFormat="false" ht="28.5" hidden="false" customHeight="true" outlineLevel="0" collapsed="false">
      <c r="A85" s="10" t="s">
        <v>1896</v>
      </c>
      <c r="B85" s="11" t="s">
        <v>1897</v>
      </c>
      <c r="C85" s="11" t="s">
        <v>636</v>
      </c>
      <c r="D85" s="11" t="s">
        <v>1909</v>
      </c>
      <c r="E85" s="11"/>
    </row>
    <row r="86" customFormat="false" ht="28.5" hidden="false" customHeight="true" outlineLevel="0" collapsed="false">
      <c r="A86" s="5" t="s">
        <v>1896</v>
      </c>
      <c r="B86" s="6" t="s">
        <v>1897</v>
      </c>
      <c r="C86" s="6" t="s">
        <v>636</v>
      </c>
      <c r="D86" s="6" t="s">
        <v>1910</v>
      </c>
      <c r="E86" s="6"/>
    </row>
    <row r="87" customFormat="false" ht="28.5" hidden="false" customHeight="true" outlineLevel="0" collapsed="false">
      <c r="A87" s="10" t="s">
        <v>1896</v>
      </c>
      <c r="B87" s="11" t="s">
        <v>1897</v>
      </c>
      <c r="C87" s="11" t="s">
        <v>636</v>
      </c>
      <c r="D87" s="11" t="s">
        <v>1911</v>
      </c>
      <c r="E87" s="11"/>
    </row>
    <row r="88" customFormat="false" ht="28.5" hidden="false" customHeight="true" outlineLevel="0" collapsed="false">
      <c r="A88" s="5" t="s">
        <v>1896</v>
      </c>
      <c r="B88" s="6" t="s">
        <v>1897</v>
      </c>
      <c r="C88" s="6" t="s">
        <v>636</v>
      </c>
      <c r="D88" s="6" t="s">
        <v>1912</v>
      </c>
      <c r="E88" s="6"/>
    </row>
    <row r="89" customFormat="false" ht="28.5" hidden="false" customHeight="true" outlineLevel="0" collapsed="false">
      <c r="A89" s="10" t="s">
        <v>1896</v>
      </c>
      <c r="B89" s="11" t="s">
        <v>1897</v>
      </c>
      <c r="C89" s="11" t="s">
        <v>636</v>
      </c>
      <c r="D89" s="11" t="s">
        <v>1913</v>
      </c>
      <c r="E89" s="11"/>
    </row>
    <row r="90" customFormat="false" ht="28.5" hidden="false" customHeight="true" outlineLevel="0" collapsed="false">
      <c r="A90" s="5" t="s">
        <v>1896</v>
      </c>
      <c r="B90" s="6" t="s">
        <v>1897</v>
      </c>
      <c r="C90" s="6" t="s">
        <v>636</v>
      </c>
      <c r="D90" s="6" t="s">
        <v>1914</v>
      </c>
      <c r="E90" s="6"/>
    </row>
    <row r="91" customFormat="false" ht="28.5" hidden="false" customHeight="true" outlineLevel="0" collapsed="false">
      <c r="A91" s="10" t="s">
        <v>1896</v>
      </c>
      <c r="B91" s="11" t="s">
        <v>1897</v>
      </c>
      <c r="C91" s="11" t="s">
        <v>636</v>
      </c>
      <c r="D91" s="11" t="s">
        <v>1915</v>
      </c>
      <c r="E91" s="11"/>
    </row>
    <row r="92" customFormat="false" ht="28.5" hidden="false" customHeight="true" outlineLevel="0" collapsed="false">
      <c r="A92" s="5" t="s">
        <v>1896</v>
      </c>
      <c r="B92" s="6" t="s">
        <v>1897</v>
      </c>
      <c r="C92" s="6" t="s">
        <v>636</v>
      </c>
      <c r="D92" s="6" t="s">
        <v>1916</v>
      </c>
      <c r="E92" s="6"/>
    </row>
    <row r="93" customFormat="false" ht="28.5" hidden="false" customHeight="true" outlineLevel="0" collapsed="false">
      <c r="A93" s="10" t="s">
        <v>1896</v>
      </c>
      <c r="B93" s="11" t="s">
        <v>1897</v>
      </c>
      <c r="C93" s="11" t="s">
        <v>636</v>
      </c>
      <c r="D93" s="11" t="s">
        <v>1917</v>
      </c>
      <c r="E93" s="11"/>
    </row>
    <row r="94" customFormat="false" ht="28.5" hidden="false" customHeight="true" outlineLevel="0" collapsed="false">
      <c r="A94" s="5" t="s">
        <v>1896</v>
      </c>
      <c r="B94" s="6" t="s">
        <v>1897</v>
      </c>
      <c r="C94" s="6" t="s">
        <v>636</v>
      </c>
      <c r="D94" s="6" t="s">
        <v>1918</v>
      </c>
      <c r="E94" s="6"/>
    </row>
    <row r="95" customFormat="false" ht="28.5" hidden="false" customHeight="true" outlineLevel="0" collapsed="false">
      <c r="A95" s="10" t="s">
        <v>1896</v>
      </c>
      <c r="B95" s="11" t="s">
        <v>1897</v>
      </c>
      <c r="C95" s="11" t="s">
        <v>636</v>
      </c>
      <c r="D95" s="11" t="s">
        <v>1919</v>
      </c>
      <c r="E95" s="11" t="s">
        <v>1823</v>
      </c>
    </row>
    <row r="96" customFormat="false" ht="28.5" hidden="false" customHeight="true" outlineLevel="0" collapsed="false">
      <c r="A96" s="5" t="s">
        <v>1896</v>
      </c>
      <c r="B96" s="6" t="s">
        <v>1897</v>
      </c>
      <c r="C96" s="6" t="s">
        <v>636</v>
      </c>
      <c r="D96" s="6" t="s">
        <v>1920</v>
      </c>
      <c r="E96" s="6"/>
    </row>
    <row r="97" customFormat="false" ht="28.5" hidden="false" customHeight="true" outlineLevel="0" collapsed="false">
      <c r="A97" s="10" t="s">
        <v>1896</v>
      </c>
      <c r="B97" s="11" t="s">
        <v>1897</v>
      </c>
      <c r="C97" s="11" t="s">
        <v>636</v>
      </c>
      <c r="D97" s="11" t="s">
        <v>1921</v>
      </c>
      <c r="E97" s="11"/>
    </row>
    <row r="98" customFormat="false" ht="28.5" hidden="false" customHeight="true" outlineLevel="0" collapsed="false">
      <c r="A98" s="5" t="s">
        <v>1896</v>
      </c>
      <c r="B98" s="6" t="s">
        <v>1897</v>
      </c>
      <c r="C98" s="6" t="s">
        <v>636</v>
      </c>
      <c r="D98" s="6" t="s">
        <v>1922</v>
      </c>
      <c r="E98" s="6"/>
    </row>
    <row r="99" customFormat="false" ht="28.5" hidden="false" customHeight="true" outlineLevel="0" collapsed="false">
      <c r="A99" s="10" t="s">
        <v>1896</v>
      </c>
      <c r="B99" s="11" t="s">
        <v>1897</v>
      </c>
      <c r="C99" s="11" t="s">
        <v>636</v>
      </c>
      <c r="D99" s="11" t="s">
        <v>1923</v>
      </c>
      <c r="E99" s="11" t="s">
        <v>1823</v>
      </c>
    </row>
    <row r="100" customFormat="false" ht="28.5" hidden="false" customHeight="true" outlineLevel="0" collapsed="false">
      <c r="A100" s="5" t="s">
        <v>1896</v>
      </c>
      <c r="B100" s="6" t="s">
        <v>1897</v>
      </c>
      <c r="C100" s="6" t="s">
        <v>636</v>
      </c>
      <c r="D100" s="6" t="s">
        <v>1924</v>
      </c>
      <c r="E100" s="6"/>
    </row>
    <row r="101" customFormat="false" ht="28.5" hidden="false" customHeight="true" outlineLevel="0" collapsed="false">
      <c r="A101" s="10" t="s">
        <v>1896</v>
      </c>
      <c r="B101" s="11" t="s">
        <v>1897</v>
      </c>
      <c r="C101" s="11" t="s">
        <v>636</v>
      </c>
      <c r="D101" s="11" t="s">
        <v>1925</v>
      </c>
      <c r="E101" s="11"/>
    </row>
    <row r="102" customFormat="false" ht="28.5" hidden="false" customHeight="true" outlineLevel="0" collapsed="false">
      <c r="A102" s="5" t="s">
        <v>1896</v>
      </c>
      <c r="B102" s="6" t="s">
        <v>1897</v>
      </c>
      <c r="C102" s="6" t="s">
        <v>636</v>
      </c>
      <c r="D102" s="6" t="s">
        <v>1926</v>
      </c>
      <c r="E102" s="6"/>
    </row>
    <row r="103" customFormat="false" ht="28.5" hidden="false" customHeight="true" outlineLevel="0" collapsed="false">
      <c r="A103" s="10" t="s">
        <v>1896</v>
      </c>
      <c r="B103" s="11" t="s">
        <v>1897</v>
      </c>
      <c r="C103" s="11" t="s">
        <v>636</v>
      </c>
      <c r="D103" s="11" t="s">
        <v>1927</v>
      </c>
      <c r="E103" s="11"/>
    </row>
    <row r="104" customFormat="false" ht="28.5" hidden="false" customHeight="true" outlineLevel="0" collapsed="false">
      <c r="A104" s="5" t="s">
        <v>1896</v>
      </c>
      <c r="B104" s="6" t="s">
        <v>1897</v>
      </c>
      <c r="C104" s="6" t="s">
        <v>636</v>
      </c>
      <c r="D104" s="6" t="s">
        <v>1928</v>
      </c>
      <c r="E104" s="6"/>
    </row>
    <row r="105" customFormat="false" ht="28.5" hidden="false" customHeight="true" outlineLevel="0" collapsed="false">
      <c r="A105" s="10" t="s">
        <v>1896</v>
      </c>
      <c r="B105" s="11" t="s">
        <v>1897</v>
      </c>
      <c r="C105" s="11" t="s">
        <v>636</v>
      </c>
      <c r="D105" s="11" t="s">
        <v>1929</v>
      </c>
      <c r="E105" s="11"/>
    </row>
    <row r="106" customFormat="false" ht="28.5" hidden="false" customHeight="true" outlineLevel="0" collapsed="false">
      <c r="A106" s="5" t="s">
        <v>1896</v>
      </c>
      <c r="B106" s="6" t="s">
        <v>1897</v>
      </c>
      <c r="C106" s="6" t="s">
        <v>636</v>
      </c>
      <c r="D106" s="6" t="s">
        <v>1930</v>
      </c>
      <c r="E106" s="6"/>
    </row>
    <row r="107" customFormat="false" ht="28.5" hidden="false" customHeight="true" outlineLevel="0" collapsed="false">
      <c r="A107" s="10" t="s">
        <v>1896</v>
      </c>
      <c r="B107" s="11" t="s">
        <v>1897</v>
      </c>
      <c r="C107" s="11" t="s">
        <v>636</v>
      </c>
      <c r="D107" s="11" t="s">
        <v>1931</v>
      </c>
      <c r="E107" s="11"/>
    </row>
    <row r="108" customFormat="false" ht="28.5" hidden="false" customHeight="true" outlineLevel="0" collapsed="false">
      <c r="A108" s="5" t="s">
        <v>1896</v>
      </c>
      <c r="B108" s="6" t="s">
        <v>1897</v>
      </c>
      <c r="C108" s="6" t="s">
        <v>636</v>
      </c>
      <c r="D108" s="6" t="s">
        <v>1932</v>
      </c>
      <c r="E108" s="6" t="s">
        <v>1823</v>
      </c>
    </row>
    <row r="109" customFormat="false" ht="28.5" hidden="false" customHeight="true" outlineLevel="0" collapsed="false">
      <c r="A109" s="10" t="s">
        <v>1896</v>
      </c>
      <c r="B109" s="11" t="s">
        <v>1897</v>
      </c>
      <c r="C109" s="11" t="s">
        <v>636</v>
      </c>
      <c r="D109" s="11" t="s">
        <v>1933</v>
      </c>
      <c r="E109" s="11" t="s">
        <v>1823</v>
      </c>
    </row>
    <row r="110" customFormat="false" ht="28.5" hidden="false" customHeight="true" outlineLevel="0" collapsed="false">
      <c r="A110" s="5" t="s">
        <v>1896</v>
      </c>
      <c r="B110" s="6" t="s">
        <v>1897</v>
      </c>
      <c r="C110" s="6" t="s">
        <v>636</v>
      </c>
      <c r="D110" s="6" t="s">
        <v>1934</v>
      </c>
      <c r="E110" s="6"/>
    </row>
    <row r="111" customFormat="false" ht="28.5" hidden="false" customHeight="true" outlineLevel="0" collapsed="false">
      <c r="A111" s="10" t="s">
        <v>1896</v>
      </c>
      <c r="B111" s="11" t="s">
        <v>1897</v>
      </c>
      <c r="C111" s="11" t="s">
        <v>636</v>
      </c>
      <c r="D111" s="11" t="s">
        <v>1935</v>
      </c>
      <c r="E111" s="11"/>
    </row>
    <row r="112" customFormat="false" ht="28.5" hidden="false" customHeight="true" outlineLevel="0" collapsed="false">
      <c r="A112" s="5" t="s">
        <v>1896</v>
      </c>
      <c r="B112" s="6" t="s">
        <v>1897</v>
      </c>
      <c r="C112" s="6" t="s">
        <v>636</v>
      </c>
      <c r="D112" s="6" t="s">
        <v>1936</v>
      </c>
      <c r="E112" s="6"/>
    </row>
    <row r="113" customFormat="false" ht="28.5" hidden="false" customHeight="true" outlineLevel="0" collapsed="false">
      <c r="A113" s="10" t="s">
        <v>1896</v>
      </c>
      <c r="B113" s="11" t="s">
        <v>1897</v>
      </c>
      <c r="C113" s="11" t="s">
        <v>636</v>
      </c>
      <c r="D113" s="11" t="s">
        <v>1937</v>
      </c>
      <c r="E113" s="11"/>
    </row>
    <row r="114" customFormat="false" ht="28.5" hidden="false" customHeight="true" outlineLevel="0" collapsed="false">
      <c r="A114" s="5" t="s">
        <v>1896</v>
      </c>
      <c r="B114" s="6" t="s">
        <v>1897</v>
      </c>
      <c r="C114" s="6" t="s">
        <v>636</v>
      </c>
      <c r="D114" s="6" t="s">
        <v>1938</v>
      </c>
      <c r="E114" s="6"/>
    </row>
    <row r="115" customFormat="false" ht="28.5" hidden="false" customHeight="true" outlineLevel="0" collapsed="false">
      <c r="A115" s="10" t="s">
        <v>1896</v>
      </c>
      <c r="B115" s="11" t="s">
        <v>1897</v>
      </c>
      <c r="C115" s="11" t="s">
        <v>636</v>
      </c>
      <c r="D115" s="11" t="s">
        <v>1939</v>
      </c>
      <c r="E115" s="11"/>
    </row>
    <row r="116" customFormat="false" ht="28.5" hidden="false" customHeight="true" outlineLevel="0" collapsed="false">
      <c r="A116" s="5" t="s">
        <v>1896</v>
      </c>
      <c r="B116" s="6" t="s">
        <v>1897</v>
      </c>
      <c r="C116" s="6" t="s">
        <v>636</v>
      </c>
      <c r="D116" s="6" t="s">
        <v>1940</v>
      </c>
      <c r="E116" s="6"/>
    </row>
    <row r="117" customFormat="false" ht="28.5" hidden="false" customHeight="true" outlineLevel="0" collapsed="false">
      <c r="A117" s="10" t="s">
        <v>1896</v>
      </c>
      <c r="B117" s="11" t="s">
        <v>1897</v>
      </c>
      <c r="C117" s="11" t="s">
        <v>636</v>
      </c>
      <c r="D117" s="11" t="s">
        <v>1941</v>
      </c>
      <c r="E117" s="11"/>
    </row>
    <row r="118" customFormat="false" ht="28.5" hidden="false" customHeight="true" outlineLevel="0" collapsed="false">
      <c r="A118" s="5" t="s">
        <v>1896</v>
      </c>
      <c r="B118" s="6" t="s">
        <v>1897</v>
      </c>
      <c r="C118" s="6" t="s">
        <v>636</v>
      </c>
      <c r="D118" s="6" t="s">
        <v>1942</v>
      </c>
      <c r="E118" s="6"/>
    </row>
    <row r="119" customFormat="false" ht="28.5" hidden="false" customHeight="true" outlineLevel="0" collapsed="false">
      <c r="A119" s="10" t="s">
        <v>1896</v>
      </c>
      <c r="B119" s="11" t="s">
        <v>1897</v>
      </c>
      <c r="C119" s="11" t="s">
        <v>636</v>
      </c>
      <c r="D119" s="11" t="s">
        <v>1943</v>
      </c>
      <c r="E119" s="11"/>
    </row>
    <row r="120" customFormat="false" ht="16.5" hidden="false" customHeight="true" outlineLevel="0" collapsed="false">
      <c r="A120" s="5" t="s">
        <v>1944</v>
      </c>
      <c r="B120" s="6" t="s">
        <v>1945</v>
      </c>
      <c r="C120" s="6" t="s">
        <v>636</v>
      </c>
      <c r="D120" s="6" t="s">
        <v>1898</v>
      </c>
      <c r="E120" s="6"/>
    </row>
    <row r="121" customFormat="false" ht="16.5" hidden="false" customHeight="true" outlineLevel="0" collapsed="false">
      <c r="A121" s="10" t="s">
        <v>1944</v>
      </c>
      <c r="B121" s="11" t="s">
        <v>1945</v>
      </c>
      <c r="C121" s="11" t="s">
        <v>636</v>
      </c>
      <c r="D121" s="11" t="s">
        <v>1899</v>
      </c>
      <c r="E121" s="11"/>
    </row>
    <row r="122" customFormat="false" ht="16.5" hidden="false" customHeight="true" outlineLevel="0" collapsed="false">
      <c r="A122" s="5" t="s">
        <v>1944</v>
      </c>
      <c r="B122" s="6" t="s">
        <v>1945</v>
      </c>
      <c r="C122" s="6" t="s">
        <v>636</v>
      </c>
      <c r="D122" s="6" t="s">
        <v>1900</v>
      </c>
      <c r="E122" s="6"/>
    </row>
    <row r="123" customFormat="false" ht="16.5" hidden="false" customHeight="true" outlineLevel="0" collapsed="false">
      <c r="A123" s="10" t="s">
        <v>1944</v>
      </c>
      <c r="B123" s="11" t="s">
        <v>1945</v>
      </c>
      <c r="C123" s="11" t="s">
        <v>636</v>
      </c>
      <c r="D123" s="11" t="s">
        <v>1901</v>
      </c>
      <c r="E123" s="11"/>
    </row>
    <row r="124" customFormat="false" ht="16.5" hidden="false" customHeight="true" outlineLevel="0" collapsed="false">
      <c r="A124" s="5" t="s">
        <v>1944</v>
      </c>
      <c r="B124" s="6" t="s">
        <v>1945</v>
      </c>
      <c r="C124" s="6" t="s">
        <v>636</v>
      </c>
      <c r="D124" s="6" t="s">
        <v>1902</v>
      </c>
      <c r="E124" s="6"/>
    </row>
    <row r="125" customFormat="false" ht="16.5" hidden="false" customHeight="true" outlineLevel="0" collapsed="false">
      <c r="A125" s="10" t="s">
        <v>1944</v>
      </c>
      <c r="B125" s="11" t="s">
        <v>1945</v>
      </c>
      <c r="C125" s="11" t="s">
        <v>636</v>
      </c>
      <c r="D125" s="11" t="s">
        <v>1903</v>
      </c>
      <c r="E125" s="11"/>
    </row>
    <row r="126" customFormat="false" ht="16.5" hidden="false" customHeight="true" outlineLevel="0" collapsed="false">
      <c r="A126" s="5" t="s">
        <v>1944</v>
      </c>
      <c r="B126" s="6" t="s">
        <v>1945</v>
      </c>
      <c r="C126" s="6" t="s">
        <v>636</v>
      </c>
      <c r="D126" s="6" t="s">
        <v>1904</v>
      </c>
      <c r="E126" s="6"/>
    </row>
    <row r="127" customFormat="false" ht="16.5" hidden="false" customHeight="true" outlineLevel="0" collapsed="false">
      <c r="A127" s="10" t="s">
        <v>1944</v>
      </c>
      <c r="B127" s="11" t="s">
        <v>1945</v>
      </c>
      <c r="C127" s="11" t="s">
        <v>636</v>
      </c>
      <c r="D127" s="11" t="s">
        <v>1905</v>
      </c>
      <c r="E127" s="11" t="s">
        <v>1823</v>
      </c>
    </row>
    <row r="128" customFormat="false" ht="16.5" hidden="false" customHeight="true" outlineLevel="0" collapsed="false">
      <c r="A128" s="5" t="s">
        <v>1944</v>
      </c>
      <c r="B128" s="6" t="s">
        <v>1945</v>
      </c>
      <c r="C128" s="6" t="s">
        <v>636</v>
      </c>
      <c r="D128" s="6" t="s">
        <v>1906</v>
      </c>
      <c r="E128" s="6"/>
    </row>
    <row r="129" customFormat="false" ht="16.5" hidden="false" customHeight="true" outlineLevel="0" collapsed="false">
      <c r="A129" s="10" t="s">
        <v>1944</v>
      </c>
      <c r="B129" s="11" t="s">
        <v>1945</v>
      </c>
      <c r="C129" s="11" t="s">
        <v>636</v>
      </c>
      <c r="D129" s="11" t="s">
        <v>1907</v>
      </c>
      <c r="E129" s="11"/>
    </row>
    <row r="130" customFormat="false" ht="16.5" hidden="false" customHeight="true" outlineLevel="0" collapsed="false">
      <c r="A130" s="5" t="s">
        <v>1944</v>
      </c>
      <c r="B130" s="6" t="s">
        <v>1945</v>
      </c>
      <c r="C130" s="6" t="s">
        <v>636</v>
      </c>
      <c r="D130" s="6" t="s">
        <v>1908</v>
      </c>
      <c r="E130" s="6" t="s">
        <v>1823</v>
      </c>
    </row>
    <row r="131" customFormat="false" ht="16.5" hidden="false" customHeight="true" outlineLevel="0" collapsed="false">
      <c r="A131" s="10" t="s">
        <v>1944</v>
      </c>
      <c r="B131" s="11" t="s">
        <v>1945</v>
      </c>
      <c r="C131" s="11" t="s">
        <v>636</v>
      </c>
      <c r="D131" s="11" t="s">
        <v>1909</v>
      </c>
      <c r="E131" s="11"/>
    </row>
    <row r="132" customFormat="false" ht="16.5" hidden="false" customHeight="true" outlineLevel="0" collapsed="false">
      <c r="A132" s="5" t="s">
        <v>1944</v>
      </c>
      <c r="B132" s="6" t="s">
        <v>1945</v>
      </c>
      <c r="C132" s="6" t="s">
        <v>636</v>
      </c>
      <c r="D132" s="6" t="s">
        <v>1910</v>
      </c>
      <c r="E132" s="6"/>
    </row>
    <row r="133" customFormat="false" ht="16.5" hidden="false" customHeight="true" outlineLevel="0" collapsed="false">
      <c r="A133" s="10" t="s">
        <v>1944</v>
      </c>
      <c r="B133" s="11" t="s">
        <v>1945</v>
      </c>
      <c r="C133" s="11" t="s">
        <v>636</v>
      </c>
      <c r="D133" s="11" t="s">
        <v>1911</v>
      </c>
      <c r="E133" s="11"/>
    </row>
    <row r="134" customFormat="false" ht="16.5" hidden="false" customHeight="true" outlineLevel="0" collapsed="false">
      <c r="A134" s="5" t="s">
        <v>1944</v>
      </c>
      <c r="B134" s="6" t="s">
        <v>1945</v>
      </c>
      <c r="C134" s="6" t="s">
        <v>636</v>
      </c>
      <c r="D134" s="6" t="s">
        <v>1912</v>
      </c>
      <c r="E134" s="6"/>
    </row>
    <row r="135" customFormat="false" ht="16.5" hidden="false" customHeight="true" outlineLevel="0" collapsed="false">
      <c r="A135" s="10" t="s">
        <v>1944</v>
      </c>
      <c r="B135" s="11" t="s">
        <v>1945</v>
      </c>
      <c r="C135" s="11" t="s">
        <v>636</v>
      </c>
      <c r="D135" s="11" t="s">
        <v>1913</v>
      </c>
      <c r="E135" s="11"/>
    </row>
    <row r="136" customFormat="false" ht="16.5" hidden="false" customHeight="true" outlineLevel="0" collapsed="false">
      <c r="A136" s="5" t="s">
        <v>1944</v>
      </c>
      <c r="B136" s="6" t="s">
        <v>1945</v>
      </c>
      <c r="C136" s="6" t="s">
        <v>636</v>
      </c>
      <c r="D136" s="6" t="s">
        <v>1914</v>
      </c>
      <c r="E136" s="6"/>
    </row>
    <row r="137" customFormat="false" ht="16.5" hidden="false" customHeight="true" outlineLevel="0" collapsed="false">
      <c r="A137" s="10" t="s">
        <v>1944</v>
      </c>
      <c r="B137" s="11" t="s">
        <v>1945</v>
      </c>
      <c r="C137" s="11" t="s">
        <v>636</v>
      </c>
      <c r="D137" s="11" t="s">
        <v>1915</v>
      </c>
      <c r="E137" s="11"/>
    </row>
    <row r="138" customFormat="false" ht="16.5" hidden="false" customHeight="true" outlineLevel="0" collapsed="false">
      <c r="A138" s="5" t="s">
        <v>1944</v>
      </c>
      <c r="B138" s="6" t="s">
        <v>1945</v>
      </c>
      <c r="C138" s="6" t="s">
        <v>636</v>
      </c>
      <c r="D138" s="6" t="s">
        <v>1916</v>
      </c>
      <c r="E138" s="6"/>
    </row>
    <row r="139" customFormat="false" ht="16.5" hidden="false" customHeight="true" outlineLevel="0" collapsed="false">
      <c r="A139" s="10" t="s">
        <v>1944</v>
      </c>
      <c r="B139" s="11" t="s">
        <v>1945</v>
      </c>
      <c r="C139" s="11" t="s">
        <v>636</v>
      </c>
      <c r="D139" s="11" t="s">
        <v>1917</v>
      </c>
      <c r="E139" s="11"/>
    </row>
    <row r="140" customFormat="false" ht="16.5" hidden="false" customHeight="true" outlineLevel="0" collapsed="false">
      <c r="A140" s="5" t="s">
        <v>1944</v>
      </c>
      <c r="B140" s="6" t="s">
        <v>1945</v>
      </c>
      <c r="C140" s="6" t="s">
        <v>636</v>
      </c>
      <c r="D140" s="6" t="s">
        <v>1918</v>
      </c>
      <c r="E140" s="6"/>
    </row>
    <row r="141" customFormat="false" ht="16.5" hidden="false" customHeight="true" outlineLevel="0" collapsed="false">
      <c r="A141" s="10" t="s">
        <v>1944</v>
      </c>
      <c r="B141" s="11" t="s">
        <v>1945</v>
      </c>
      <c r="C141" s="11" t="s">
        <v>636</v>
      </c>
      <c r="D141" s="11" t="s">
        <v>1919</v>
      </c>
      <c r="E141" s="11" t="s">
        <v>1823</v>
      </c>
    </row>
    <row r="142" customFormat="false" ht="16.5" hidden="false" customHeight="true" outlineLevel="0" collapsed="false">
      <c r="A142" s="5" t="s">
        <v>1944</v>
      </c>
      <c r="B142" s="6" t="s">
        <v>1945</v>
      </c>
      <c r="C142" s="6" t="s">
        <v>636</v>
      </c>
      <c r="D142" s="6" t="s">
        <v>1920</v>
      </c>
      <c r="E142" s="6"/>
    </row>
    <row r="143" customFormat="false" ht="16.5" hidden="false" customHeight="true" outlineLevel="0" collapsed="false">
      <c r="A143" s="10" t="s">
        <v>1944</v>
      </c>
      <c r="B143" s="11" t="s">
        <v>1945</v>
      </c>
      <c r="C143" s="11" t="s">
        <v>636</v>
      </c>
      <c r="D143" s="11" t="s">
        <v>1921</v>
      </c>
      <c r="E143" s="11"/>
    </row>
    <row r="144" customFormat="false" ht="16.5" hidden="false" customHeight="true" outlineLevel="0" collapsed="false">
      <c r="A144" s="5" t="s">
        <v>1944</v>
      </c>
      <c r="B144" s="6" t="s">
        <v>1945</v>
      </c>
      <c r="C144" s="6" t="s">
        <v>636</v>
      </c>
      <c r="D144" s="6" t="s">
        <v>1922</v>
      </c>
      <c r="E144" s="6"/>
    </row>
    <row r="145" customFormat="false" ht="16.5" hidden="false" customHeight="true" outlineLevel="0" collapsed="false">
      <c r="A145" s="10" t="s">
        <v>1944</v>
      </c>
      <c r="B145" s="11" t="s">
        <v>1945</v>
      </c>
      <c r="C145" s="11" t="s">
        <v>636</v>
      </c>
      <c r="D145" s="11" t="s">
        <v>1923</v>
      </c>
      <c r="E145" s="11" t="s">
        <v>1823</v>
      </c>
    </row>
    <row r="146" customFormat="false" ht="16.5" hidden="false" customHeight="true" outlineLevel="0" collapsed="false">
      <c r="A146" s="5" t="s">
        <v>1944</v>
      </c>
      <c r="B146" s="6" t="s">
        <v>1945</v>
      </c>
      <c r="C146" s="6" t="s">
        <v>636</v>
      </c>
      <c r="D146" s="6" t="s">
        <v>1924</v>
      </c>
      <c r="E146" s="6"/>
    </row>
    <row r="147" customFormat="false" ht="16.5" hidden="false" customHeight="true" outlineLevel="0" collapsed="false">
      <c r="A147" s="10" t="s">
        <v>1944</v>
      </c>
      <c r="B147" s="11" t="s">
        <v>1945</v>
      </c>
      <c r="C147" s="11" t="s">
        <v>636</v>
      </c>
      <c r="D147" s="11" t="s">
        <v>1925</v>
      </c>
      <c r="E147" s="11"/>
    </row>
    <row r="148" customFormat="false" ht="16.5" hidden="false" customHeight="true" outlineLevel="0" collapsed="false">
      <c r="A148" s="5" t="s">
        <v>1944</v>
      </c>
      <c r="B148" s="6" t="s">
        <v>1945</v>
      </c>
      <c r="C148" s="6" t="s">
        <v>636</v>
      </c>
      <c r="D148" s="6" t="s">
        <v>1926</v>
      </c>
      <c r="E148" s="6"/>
    </row>
    <row r="149" customFormat="false" ht="16.5" hidden="false" customHeight="true" outlineLevel="0" collapsed="false">
      <c r="A149" s="10" t="s">
        <v>1944</v>
      </c>
      <c r="B149" s="11" t="s">
        <v>1945</v>
      </c>
      <c r="C149" s="11" t="s">
        <v>636</v>
      </c>
      <c r="D149" s="11" t="s">
        <v>1927</v>
      </c>
      <c r="E149" s="11"/>
    </row>
    <row r="150" customFormat="false" ht="16.5" hidden="false" customHeight="true" outlineLevel="0" collapsed="false">
      <c r="A150" s="5" t="s">
        <v>1944</v>
      </c>
      <c r="B150" s="6" t="s">
        <v>1945</v>
      </c>
      <c r="C150" s="6" t="s">
        <v>636</v>
      </c>
      <c r="D150" s="6" t="s">
        <v>1928</v>
      </c>
      <c r="E150" s="6"/>
    </row>
    <row r="151" customFormat="false" ht="16.5" hidden="false" customHeight="true" outlineLevel="0" collapsed="false">
      <c r="A151" s="10" t="s">
        <v>1944</v>
      </c>
      <c r="B151" s="11" t="s">
        <v>1945</v>
      </c>
      <c r="C151" s="11" t="s">
        <v>636</v>
      </c>
      <c r="D151" s="11" t="s">
        <v>1929</v>
      </c>
      <c r="E151" s="11"/>
    </row>
    <row r="152" customFormat="false" ht="16.5" hidden="false" customHeight="true" outlineLevel="0" collapsed="false">
      <c r="A152" s="5" t="s">
        <v>1944</v>
      </c>
      <c r="B152" s="6" t="s">
        <v>1945</v>
      </c>
      <c r="C152" s="6" t="s">
        <v>636</v>
      </c>
      <c r="D152" s="6" t="s">
        <v>1930</v>
      </c>
      <c r="E152" s="6"/>
    </row>
    <row r="153" customFormat="false" ht="16.5" hidden="false" customHeight="true" outlineLevel="0" collapsed="false">
      <c r="A153" s="10" t="s">
        <v>1944</v>
      </c>
      <c r="B153" s="11" t="s">
        <v>1945</v>
      </c>
      <c r="C153" s="11" t="s">
        <v>636</v>
      </c>
      <c r="D153" s="11" t="s">
        <v>1931</v>
      </c>
      <c r="E153" s="11"/>
    </row>
    <row r="154" customFormat="false" ht="16.5" hidden="false" customHeight="true" outlineLevel="0" collapsed="false">
      <c r="A154" s="5" t="s">
        <v>1944</v>
      </c>
      <c r="B154" s="6" t="s">
        <v>1945</v>
      </c>
      <c r="C154" s="6" t="s">
        <v>636</v>
      </c>
      <c r="D154" s="6" t="s">
        <v>1932</v>
      </c>
      <c r="E154" s="6" t="s">
        <v>1823</v>
      </c>
    </row>
    <row r="155" customFormat="false" ht="16.5" hidden="false" customHeight="true" outlineLevel="0" collapsed="false">
      <c r="A155" s="10" t="s">
        <v>1944</v>
      </c>
      <c r="B155" s="11" t="s">
        <v>1945</v>
      </c>
      <c r="C155" s="11" t="s">
        <v>636</v>
      </c>
      <c r="D155" s="11" t="s">
        <v>1933</v>
      </c>
      <c r="E155" s="11" t="s">
        <v>1823</v>
      </c>
    </row>
    <row r="156" customFormat="false" ht="16.5" hidden="false" customHeight="true" outlineLevel="0" collapsed="false">
      <c r="A156" s="5" t="s">
        <v>1944</v>
      </c>
      <c r="B156" s="6" t="s">
        <v>1945</v>
      </c>
      <c r="C156" s="6" t="s">
        <v>636</v>
      </c>
      <c r="D156" s="6" t="s">
        <v>1934</v>
      </c>
      <c r="E156" s="6"/>
    </row>
    <row r="157" customFormat="false" ht="16.5" hidden="false" customHeight="true" outlineLevel="0" collapsed="false">
      <c r="A157" s="10" t="s">
        <v>1944</v>
      </c>
      <c r="B157" s="11" t="s">
        <v>1945</v>
      </c>
      <c r="C157" s="11" t="s">
        <v>636</v>
      </c>
      <c r="D157" s="11" t="s">
        <v>1935</v>
      </c>
      <c r="E157" s="11"/>
    </row>
    <row r="158" customFormat="false" ht="16.5" hidden="false" customHeight="true" outlineLevel="0" collapsed="false">
      <c r="A158" s="5" t="s">
        <v>1944</v>
      </c>
      <c r="B158" s="6" t="s">
        <v>1945</v>
      </c>
      <c r="C158" s="6" t="s">
        <v>636</v>
      </c>
      <c r="D158" s="6" t="s">
        <v>1936</v>
      </c>
      <c r="E158" s="6"/>
    </row>
    <row r="159" customFormat="false" ht="16.5" hidden="false" customHeight="true" outlineLevel="0" collapsed="false">
      <c r="A159" s="10" t="s">
        <v>1944</v>
      </c>
      <c r="B159" s="11" t="s">
        <v>1945</v>
      </c>
      <c r="C159" s="11" t="s">
        <v>636</v>
      </c>
      <c r="D159" s="11" t="s">
        <v>1937</v>
      </c>
      <c r="E159" s="11"/>
    </row>
    <row r="160" customFormat="false" ht="16.5" hidden="false" customHeight="true" outlineLevel="0" collapsed="false">
      <c r="A160" s="5" t="s">
        <v>1944</v>
      </c>
      <c r="B160" s="6" t="s">
        <v>1945</v>
      </c>
      <c r="C160" s="6" t="s">
        <v>636</v>
      </c>
      <c r="D160" s="6" t="s">
        <v>1938</v>
      </c>
      <c r="E160" s="6"/>
    </row>
    <row r="161" customFormat="false" ht="16.5" hidden="false" customHeight="true" outlineLevel="0" collapsed="false">
      <c r="A161" s="10" t="s">
        <v>1944</v>
      </c>
      <c r="B161" s="11" t="s">
        <v>1945</v>
      </c>
      <c r="C161" s="11" t="s">
        <v>636</v>
      </c>
      <c r="D161" s="11" t="s">
        <v>1939</v>
      </c>
      <c r="E161" s="11"/>
    </row>
    <row r="162" customFormat="false" ht="16.5" hidden="false" customHeight="true" outlineLevel="0" collapsed="false">
      <c r="A162" s="5" t="s">
        <v>1944</v>
      </c>
      <c r="B162" s="6" t="s">
        <v>1945</v>
      </c>
      <c r="C162" s="6" t="s">
        <v>636</v>
      </c>
      <c r="D162" s="6" t="s">
        <v>1940</v>
      </c>
      <c r="E162" s="6"/>
    </row>
    <row r="163" customFormat="false" ht="16.5" hidden="false" customHeight="true" outlineLevel="0" collapsed="false">
      <c r="A163" s="10" t="s">
        <v>1944</v>
      </c>
      <c r="B163" s="11" t="s">
        <v>1945</v>
      </c>
      <c r="C163" s="11" t="s">
        <v>636</v>
      </c>
      <c r="D163" s="11" t="s">
        <v>1941</v>
      </c>
      <c r="E163" s="11"/>
    </row>
    <row r="164" customFormat="false" ht="16.5" hidden="false" customHeight="true" outlineLevel="0" collapsed="false">
      <c r="A164" s="5" t="s">
        <v>1944</v>
      </c>
      <c r="B164" s="6" t="s">
        <v>1945</v>
      </c>
      <c r="C164" s="6" t="s">
        <v>636</v>
      </c>
      <c r="D164" s="6" t="s">
        <v>1942</v>
      </c>
      <c r="E164" s="6"/>
    </row>
    <row r="165" customFormat="false" ht="16.5" hidden="false" customHeight="true" outlineLevel="0" collapsed="false">
      <c r="A165" s="10" t="s">
        <v>1944</v>
      </c>
      <c r="B165" s="11" t="s">
        <v>1945</v>
      </c>
      <c r="C165" s="11" t="s">
        <v>636</v>
      </c>
      <c r="D165" s="11" t="s">
        <v>1943</v>
      </c>
      <c r="E165" s="11"/>
    </row>
    <row r="166" customFormat="false" ht="16.5" hidden="false" customHeight="true" outlineLevel="0" collapsed="false">
      <c r="A166" s="5" t="s">
        <v>1946</v>
      </c>
      <c r="B166" s="6" t="s">
        <v>1947</v>
      </c>
      <c r="C166" s="6" t="s">
        <v>264</v>
      </c>
      <c r="D166" s="6" t="s">
        <v>1948</v>
      </c>
      <c r="E166" s="6"/>
    </row>
    <row r="167" customFormat="false" ht="16.5" hidden="false" customHeight="true" outlineLevel="0" collapsed="false">
      <c r="A167" s="10" t="s">
        <v>1946</v>
      </c>
      <c r="B167" s="11" t="s">
        <v>1947</v>
      </c>
      <c r="C167" s="11" t="s">
        <v>264</v>
      </c>
      <c r="D167" s="11" t="s">
        <v>1949</v>
      </c>
      <c r="E167" s="11"/>
    </row>
    <row r="168" customFormat="false" ht="16.5" hidden="false" customHeight="true" outlineLevel="0" collapsed="false">
      <c r="A168" s="5" t="s">
        <v>1946</v>
      </c>
      <c r="B168" s="6" t="s">
        <v>1947</v>
      </c>
      <c r="C168" s="6" t="s">
        <v>264</v>
      </c>
      <c r="D168" s="6" t="s">
        <v>1950</v>
      </c>
      <c r="E168" s="6"/>
    </row>
    <row r="169" customFormat="false" ht="16.5" hidden="false" customHeight="true" outlineLevel="0" collapsed="false">
      <c r="A169" s="10" t="s">
        <v>1946</v>
      </c>
      <c r="B169" s="11" t="s">
        <v>1947</v>
      </c>
      <c r="C169" s="11" t="s">
        <v>264</v>
      </c>
      <c r="D169" s="11" t="s">
        <v>1951</v>
      </c>
      <c r="E169" s="11"/>
    </row>
    <row r="170" customFormat="false" ht="16.5" hidden="false" customHeight="true" outlineLevel="0" collapsed="false">
      <c r="A170" s="5" t="s">
        <v>1946</v>
      </c>
      <c r="B170" s="6" t="s">
        <v>1947</v>
      </c>
      <c r="C170" s="6" t="s">
        <v>264</v>
      </c>
      <c r="D170" s="6" t="s">
        <v>1952</v>
      </c>
      <c r="E170" s="6"/>
    </row>
    <row r="171" customFormat="false" ht="16.5" hidden="false" customHeight="true" outlineLevel="0" collapsed="false">
      <c r="A171" s="10" t="s">
        <v>1946</v>
      </c>
      <c r="B171" s="11" t="s">
        <v>1947</v>
      </c>
      <c r="C171" s="11" t="s">
        <v>264</v>
      </c>
      <c r="D171" s="11" t="s">
        <v>1953</v>
      </c>
      <c r="E171" s="11"/>
    </row>
    <row r="172" customFormat="false" ht="16.5" hidden="false" customHeight="true" outlineLevel="0" collapsed="false">
      <c r="A172" s="5" t="s">
        <v>1946</v>
      </c>
      <c r="B172" s="6" t="s">
        <v>1947</v>
      </c>
      <c r="C172" s="6" t="s">
        <v>264</v>
      </c>
      <c r="D172" s="6" t="s">
        <v>1954</v>
      </c>
      <c r="E172" s="6"/>
    </row>
    <row r="173" customFormat="false" ht="16.5" hidden="false" customHeight="true" outlineLevel="0" collapsed="false">
      <c r="A173" s="10" t="s">
        <v>1946</v>
      </c>
      <c r="B173" s="11" t="s">
        <v>1947</v>
      </c>
      <c r="C173" s="11" t="s">
        <v>264</v>
      </c>
      <c r="D173" s="11" t="s">
        <v>1955</v>
      </c>
      <c r="E173" s="11"/>
    </row>
    <row r="174" customFormat="false" ht="16.5" hidden="false" customHeight="true" outlineLevel="0" collapsed="false">
      <c r="A174" s="5" t="s">
        <v>1946</v>
      </c>
      <c r="B174" s="6" t="s">
        <v>1947</v>
      </c>
      <c r="C174" s="6" t="s">
        <v>264</v>
      </c>
      <c r="D174" s="6" t="s">
        <v>1956</v>
      </c>
      <c r="E174" s="6"/>
    </row>
    <row r="175" customFormat="false" ht="16.5" hidden="false" customHeight="true" outlineLevel="0" collapsed="false">
      <c r="A175" s="10" t="s">
        <v>1946</v>
      </c>
      <c r="B175" s="11" t="s">
        <v>1947</v>
      </c>
      <c r="C175" s="11" t="s">
        <v>264</v>
      </c>
      <c r="D175" s="11" t="s">
        <v>1957</v>
      </c>
      <c r="E175" s="11"/>
    </row>
    <row r="176" customFormat="false" ht="16.5" hidden="false" customHeight="true" outlineLevel="0" collapsed="false">
      <c r="A176" s="5" t="s">
        <v>1946</v>
      </c>
      <c r="B176" s="6" t="s">
        <v>1947</v>
      </c>
      <c r="C176" s="6" t="s">
        <v>264</v>
      </c>
      <c r="D176" s="6" t="s">
        <v>1958</v>
      </c>
      <c r="E176" s="6"/>
    </row>
    <row r="177" customFormat="false" ht="16.5" hidden="false" customHeight="true" outlineLevel="0" collapsed="false">
      <c r="A177" s="10" t="s">
        <v>1946</v>
      </c>
      <c r="B177" s="11" t="s">
        <v>1947</v>
      </c>
      <c r="C177" s="11" t="s">
        <v>264</v>
      </c>
      <c r="D177" s="11" t="s">
        <v>1959</v>
      </c>
      <c r="E177" s="11"/>
    </row>
    <row r="178" customFormat="false" ht="16.5" hidden="false" customHeight="true" outlineLevel="0" collapsed="false">
      <c r="A178" s="5" t="s">
        <v>1946</v>
      </c>
      <c r="B178" s="6" t="s">
        <v>1947</v>
      </c>
      <c r="C178" s="6" t="s">
        <v>264</v>
      </c>
      <c r="D178" s="6" t="s">
        <v>1960</v>
      </c>
      <c r="E178" s="6"/>
    </row>
    <row r="179" customFormat="false" ht="16.5" hidden="false" customHeight="true" outlineLevel="0" collapsed="false">
      <c r="A179" s="10" t="s">
        <v>1946</v>
      </c>
      <c r="B179" s="11" t="s">
        <v>1947</v>
      </c>
      <c r="C179" s="11" t="s">
        <v>264</v>
      </c>
      <c r="D179" s="11" t="s">
        <v>1961</v>
      </c>
      <c r="E179" s="11"/>
    </row>
    <row r="180" customFormat="false" ht="16.5" hidden="false" customHeight="true" outlineLevel="0" collapsed="false">
      <c r="A180" s="5" t="s">
        <v>1962</v>
      </c>
      <c r="B180" s="6" t="s">
        <v>1963</v>
      </c>
      <c r="C180" s="6" t="s">
        <v>177</v>
      </c>
      <c r="D180" s="6" t="s">
        <v>1822</v>
      </c>
      <c r="E180" s="6" t="s">
        <v>1823</v>
      </c>
    </row>
    <row r="181" customFormat="false" ht="16.5" hidden="false" customHeight="true" outlineLevel="0" collapsed="false">
      <c r="A181" s="10" t="s">
        <v>1962</v>
      </c>
      <c r="B181" s="11" t="s">
        <v>1963</v>
      </c>
      <c r="C181" s="11" t="s">
        <v>177</v>
      </c>
      <c r="D181" s="11" t="s">
        <v>1824</v>
      </c>
      <c r="E181" s="11" t="s">
        <v>1823</v>
      </c>
    </row>
    <row r="182" customFormat="false" ht="16.5" hidden="false" customHeight="true" outlineLevel="0" collapsed="false">
      <c r="A182" s="5" t="s">
        <v>1962</v>
      </c>
      <c r="B182" s="6" t="s">
        <v>1963</v>
      </c>
      <c r="C182" s="6" t="s">
        <v>177</v>
      </c>
      <c r="D182" s="6" t="s">
        <v>1964</v>
      </c>
      <c r="E182" s="6" t="s">
        <v>1823</v>
      </c>
    </row>
    <row r="183" customFormat="false" ht="16.5" hidden="false" customHeight="true" outlineLevel="0" collapsed="false">
      <c r="A183" s="10" t="s">
        <v>1962</v>
      </c>
      <c r="B183" s="11" t="s">
        <v>1963</v>
      </c>
      <c r="C183" s="11" t="s">
        <v>177</v>
      </c>
      <c r="D183" s="11" t="s">
        <v>1965</v>
      </c>
      <c r="E183" s="11"/>
    </row>
    <row r="184" customFormat="false" ht="16.5" hidden="false" customHeight="true" outlineLevel="0" collapsed="false">
      <c r="A184" s="5" t="s">
        <v>1962</v>
      </c>
      <c r="B184" s="6" t="s">
        <v>1963</v>
      </c>
      <c r="C184" s="6" t="s">
        <v>177</v>
      </c>
      <c r="D184" s="6" t="s">
        <v>1966</v>
      </c>
      <c r="E184" s="6"/>
    </row>
    <row r="185" customFormat="false" ht="16.5" hidden="false" customHeight="true" outlineLevel="0" collapsed="false">
      <c r="A185" s="10" t="s">
        <v>1962</v>
      </c>
      <c r="B185" s="11" t="s">
        <v>1963</v>
      </c>
      <c r="C185" s="11" t="s">
        <v>177</v>
      </c>
      <c r="D185" s="11" t="s">
        <v>1967</v>
      </c>
      <c r="E185" s="11"/>
    </row>
    <row r="186" customFormat="false" ht="16.5" hidden="false" customHeight="true" outlineLevel="0" collapsed="false">
      <c r="A186" s="5" t="s">
        <v>1962</v>
      </c>
      <c r="B186" s="6" t="s">
        <v>1963</v>
      </c>
      <c r="C186" s="6" t="s">
        <v>177</v>
      </c>
      <c r="D186" s="6" t="s">
        <v>1968</v>
      </c>
      <c r="E186" s="6"/>
    </row>
    <row r="187" customFormat="false" ht="16.5" hidden="false" customHeight="true" outlineLevel="0" collapsed="false">
      <c r="A187" s="10" t="s">
        <v>1962</v>
      </c>
      <c r="B187" s="11" t="s">
        <v>1963</v>
      </c>
      <c r="C187" s="11" t="s">
        <v>177</v>
      </c>
      <c r="D187" s="11" t="s">
        <v>1969</v>
      </c>
      <c r="E187" s="11" t="s">
        <v>1823</v>
      </c>
    </row>
    <row r="188" customFormat="false" ht="16.5" hidden="false" customHeight="true" outlineLevel="0" collapsed="false">
      <c r="A188" s="5" t="s">
        <v>1962</v>
      </c>
      <c r="B188" s="6" t="s">
        <v>1963</v>
      </c>
      <c r="C188" s="6" t="s">
        <v>177</v>
      </c>
      <c r="D188" s="6" t="s">
        <v>1970</v>
      </c>
      <c r="E188" s="6"/>
    </row>
    <row r="189" customFormat="false" ht="16.5" hidden="false" customHeight="true" outlineLevel="0" collapsed="false">
      <c r="A189" s="10" t="s">
        <v>1971</v>
      </c>
      <c r="B189" s="11" t="s">
        <v>1972</v>
      </c>
      <c r="C189" s="11" t="s">
        <v>740</v>
      </c>
      <c r="D189" s="11" t="s">
        <v>1973</v>
      </c>
      <c r="E189" s="11" t="s">
        <v>1823</v>
      </c>
    </row>
    <row r="190" customFormat="false" ht="16.5" hidden="false" customHeight="true" outlineLevel="0" collapsed="false">
      <c r="A190" s="5" t="s">
        <v>1971</v>
      </c>
      <c r="B190" s="6" t="s">
        <v>1972</v>
      </c>
      <c r="C190" s="6" t="s">
        <v>740</v>
      </c>
      <c r="D190" s="6" t="s">
        <v>1974</v>
      </c>
      <c r="E190" s="6"/>
    </row>
    <row r="191" customFormat="false" ht="16.5" hidden="false" customHeight="true" outlineLevel="0" collapsed="false">
      <c r="A191" s="10" t="s">
        <v>1971</v>
      </c>
      <c r="B191" s="11" t="s">
        <v>1972</v>
      </c>
      <c r="C191" s="11" t="s">
        <v>740</v>
      </c>
      <c r="D191" s="11" t="s">
        <v>1975</v>
      </c>
      <c r="E191" s="11" t="s">
        <v>1823</v>
      </c>
    </row>
    <row r="192" customFormat="false" ht="16.5" hidden="false" customHeight="true" outlineLevel="0" collapsed="false">
      <c r="A192" s="5" t="s">
        <v>1971</v>
      </c>
      <c r="B192" s="6" t="s">
        <v>1972</v>
      </c>
      <c r="C192" s="6" t="s">
        <v>740</v>
      </c>
      <c r="D192" s="6" t="s">
        <v>1976</v>
      </c>
      <c r="E192" s="6"/>
    </row>
    <row r="193" customFormat="false" ht="16.5" hidden="false" customHeight="true" outlineLevel="0" collapsed="false">
      <c r="A193" s="10" t="s">
        <v>1971</v>
      </c>
      <c r="B193" s="11" t="s">
        <v>1972</v>
      </c>
      <c r="C193" s="11" t="s">
        <v>740</v>
      </c>
      <c r="D193" s="11" t="s">
        <v>1977</v>
      </c>
      <c r="E193" s="11"/>
    </row>
    <row r="194" customFormat="false" ht="16.5" hidden="false" customHeight="true" outlineLevel="0" collapsed="false">
      <c r="A194" s="5" t="s">
        <v>1971</v>
      </c>
      <c r="B194" s="6" t="s">
        <v>1972</v>
      </c>
      <c r="C194" s="6" t="s">
        <v>740</v>
      </c>
      <c r="D194" s="6" t="s">
        <v>1978</v>
      </c>
      <c r="E194" s="6"/>
    </row>
    <row r="195" customFormat="false" ht="16.5" hidden="false" customHeight="true" outlineLevel="0" collapsed="false">
      <c r="A195" s="10" t="s">
        <v>1971</v>
      </c>
      <c r="B195" s="11" t="s">
        <v>1972</v>
      </c>
      <c r="C195" s="11" t="s">
        <v>740</v>
      </c>
      <c r="D195" s="11" t="s">
        <v>1979</v>
      </c>
      <c r="E195" s="11"/>
    </row>
    <row r="196" customFormat="false" ht="16.5" hidden="false" customHeight="true" outlineLevel="0" collapsed="false">
      <c r="A196" s="5" t="s">
        <v>1971</v>
      </c>
      <c r="B196" s="6" t="s">
        <v>1972</v>
      </c>
      <c r="C196" s="6" t="s">
        <v>740</v>
      </c>
      <c r="D196" s="6" t="s">
        <v>1980</v>
      </c>
      <c r="E196" s="6"/>
    </row>
    <row r="197" customFormat="false" ht="16.5" hidden="false" customHeight="true" outlineLevel="0" collapsed="false">
      <c r="A197" s="10" t="s">
        <v>1971</v>
      </c>
      <c r="B197" s="11" t="s">
        <v>1972</v>
      </c>
      <c r="C197" s="11" t="s">
        <v>740</v>
      </c>
      <c r="D197" s="11" t="s">
        <v>1981</v>
      </c>
      <c r="E197" s="11"/>
    </row>
    <row r="198" customFormat="false" ht="16.5" hidden="false" customHeight="true" outlineLevel="0" collapsed="false">
      <c r="A198" s="5" t="s">
        <v>1971</v>
      </c>
      <c r="B198" s="6" t="s">
        <v>1972</v>
      </c>
      <c r="C198" s="6" t="s">
        <v>740</v>
      </c>
      <c r="D198" s="6" t="s">
        <v>1982</v>
      </c>
      <c r="E198" s="6"/>
    </row>
    <row r="199" customFormat="false" ht="16.5" hidden="false" customHeight="true" outlineLevel="0" collapsed="false">
      <c r="A199" s="10" t="s">
        <v>1971</v>
      </c>
      <c r="B199" s="11" t="s">
        <v>1972</v>
      </c>
      <c r="C199" s="11" t="s">
        <v>740</v>
      </c>
      <c r="D199" s="11" t="s">
        <v>1983</v>
      </c>
      <c r="E199" s="11"/>
    </row>
    <row r="200" customFormat="false" ht="16.5" hidden="false" customHeight="true" outlineLevel="0" collapsed="false">
      <c r="A200" s="5" t="s">
        <v>1984</v>
      </c>
      <c r="B200" s="6" t="s">
        <v>1985</v>
      </c>
      <c r="C200" s="6" t="s">
        <v>422</v>
      </c>
      <c r="D200" s="6" t="s">
        <v>1986</v>
      </c>
      <c r="E200" s="6"/>
    </row>
    <row r="201" customFormat="false" ht="16.5" hidden="false" customHeight="true" outlineLevel="0" collapsed="false">
      <c r="A201" s="10" t="s">
        <v>1984</v>
      </c>
      <c r="B201" s="11" t="s">
        <v>1985</v>
      </c>
      <c r="C201" s="11" t="s">
        <v>422</v>
      </c>
      <c r="D201" s="11" t="s">
        <v>1987</v>
      </c>
      <c r="E201" s="11"/>
    </row>
    <row r="202" customFormat="false" ht="16.5" hidden="false" customHeight="true" outlineLevel="0" collapsed="false">
      <c r="A202" s="5" t="s">
        <v>1984</v>
      </c>
      <c r="B202" s="6" t="s">
        <v>1985</v>
      </c>
      <c r="C202" s="6" t="s">
        <v>422</v>
      </c>
      <c r="D202" s="6" t="s">
        <v>1988</v>
      </c>
      <c r="E202" s="6"/>
    </row>
    <row r="203" customFormat="false" ht="16.5" hidden="false" customHeight="true" outlineLevel="0" collapsed="false">
      <c r="A203" s="10" t="s">
        <v>1984</v>
      </c>
      <c r="B203" s="11" t="s">
        <v>1985</v>
      </c>
      <c r="C203" s="11" t="s">
        <v>422</v>
      </c>
      <c r="D203" s="11" t="s">
        <v>1989</v>
      </c>
      <c r="E203" s="11"/>
    </row>
    <row r="204" customFormat="false" ht="16.5" hidden="false" customHeight="true" outlineLevel="0" collapsed="false">
      <c r="A204" s="5" t="s">
        <v>1984</v>
      </c>
      <c r="B204" s="6" t="s">
        <v>1985</v>
      </c>
      <c r="C204" s="6" t="s">
        <v>422</v>
      </c>
      <c r="D204" s="6" t="s">
        <v>1990</v>
      </c>
      <c r="E204" s="6"/>
    </row>
    <row r="205" customFormat="false" ht="16.5" hidden="false" customHeight="true" outlineLevel="0" collapsed="false">
      <c r="A205" s="10" t="s">
        <v>1984</v>
      </c>
      <c r="B205" s="11" t="s">
        <v>1985</v>
      </c>
      <c r="C205" s="11" t="s">
        <v>422</v>
      </c>
      <c r="D205" s="11" t="s">
        <v>1991</v>
      </c>
      <c r="E205" s="11"/>
    </row>
    <row r="206" customFormat="false" ht="16.5" hidden="false" customHeight="true" outlineLevel="0" collapsed="false">
      <c r="A206" s="5" t="s">
        <v>1984</v>
      </c>
      <c r="B206" s="6" t="s">
        <v>1985</v>
      </c>
      <c r="C206" s="6" t="s">
        <v>422</v>
      </c>
      <c r="D206" s="6" t="s">
        <v>1992</v>
      </c>
      <c r="E206" s="6"/>
    </row>
    <row r="207" customFormat="false" ht="16.5" hidden="false" customHeight="true" outlineLevel="0" collapsed="false">
      <c r="A207" s="10" t="s">
        <v>1984</v>
      </c>
      <c r="B207" s="11" t="s">
        <v>1985</v>
      </c>
      <c r="C207" s="11" t="s">
        <v>422</v>
      </c>
      <c r="D207" s="11" t="s">
        <v>1993</v>
      </c>
      <c r="E207" s="11"/>
    </row>
    <row r="208" customFormat="false" ht="16.5" hidden="false" customHeight="true" outlineLevel="0" collapsed="false">
      <c r="A208" s="5" t="s">
        <v>1984</v>
      </c>
      <c r="B208" s="6" t="s">
        <v>1985</v>
      </c>
      <c r="C208" s="6" t="s">
        <v>422</v>
      </c>
      <c r="D208" s="6" t="s">
        <v>1994</v>
      </c>
      <c r="E208" s="6"/>
    </row>
    <row r="209" customFormat="false" ht="16.5" hidden="false" customHeight="true" outlineLevel="0" collapsed="false">
      <c r="A209" s="10" t="s">
        <v>1984</v>
      </c>
      <c r="B209" s="11" t="s">
        <v>1985</v>
      </c>
      <c r="C209" s="11" t="s">
        <v>422</v>
      </c>
      <c r="D209" s="11" t="s">
        <v>1995</v>
      </c>
      <c r="E209" s="11"/>
    </row>
    <row r="210" customFormat="false" ht="16.5" hidden="false" customHeight="true" outlineLevel="0" collapsed="false">
      <c r="A210" s="5" t="s">
        <v>1984</v>
      </c>
      <c r="B210" s="6" t="s">
        <v>1985</v>
      </c>
      <c r="C210" s="6" t="s">
        <v>422</v>
      </c>
      <c r="D210" s="6" t="s">
        <v>1996</v>
      </c>
      <c r="E210" s="6"/>
    </row>
    <row r="211" customFormat="false" ht="16.5" hidden="false" customHeight="true" outlineLevel="0" collapsed="false">
      <c r="A211" s="10" t="s">
        <v>1984</v>
      </c>
      <c r="B211" s="11" t="s">
        <v>1985</v>
      </c>
      <c r="C211" s="11" t="s">
        <v>422</v>
      </c>
      <c r="D211" s="11" t="s">
        <v>1997</v>
      </c>
      <c r="E211" s="11"/>
    </row>
    <row r="212" customFormat="false" ht="16.5" hidden="false" customHeight="true" outlineLevel="0" collapsed="false">
      <c r="A212" s="5" t="s">
        <v>1984</v>
      </c>
      <c r="B212" s="6" t="s">
        <v>1985</v>
      </c>
      <c r="C212" s="6" t="s">
        <v>422</v>
      </c>
      <c r="D212" s="6" t="s">
        <v>1998</v>
      </c>
      <c r="E212" s="6"/>
    </row>
    <row r="213" customFormat="false" ht="16.5" hidden="false" customHeight="true" outlineLevel="0" collapsed="false">
      <c r="A213" s="10" t="s">
        <v>1984</v>
      </c>
      <c r="B213" s="11" t="s">
        <v>1985</v>
      </c>
      <c r="C213" s="11" t="s">
        <v>422</v>
      </c>
      <c r="D213" s="11" t="s">
        <v>1999</v>
      </c>
      <c r="E213" s="11"/>
    </row>
    <row r="214" customFormat="false" ht="16.5" hidden="false" customHeight="true" outlineLevel="0" collapsed="false">
      <c r="A214" s="5" t="s">
        <v>2000</v>
      </c>
      <c r="B214" s="6" t="s">
        <v>2001</v>
      </c>
      <c r="C214" s="6" t="s">
        <v>1829</v>
      </c>
      <c r="D214" s="6" t="s">
        <v>2002</v>
      </c>
      <c r="E214" s="6"/>
    </row>
    <row r="215" customFormat="false" ht="16.5" hidden="false" customHeight="true" outlineLevel="0" collapsed="false">
      <c r="A215" s="10" t="s">
        <v>2003</v>
      </c>
      <c r="B215" s="11" t="s">
        <v>2004</v>
      </c>
      <c r="C215" s="11" t="s">
        <v>1829</v>
      </c>
      <c r="D215" s="11" t="s">
        <v>2005</v>
      </c>
      <c r="E215" s="11"/>
    </row>
    <row r="216" customFormat="false" ht="16.5" hidden="false" customHeight="true" outlineLevel="0" collapsed="false">
      <c r="A216" s="5" t="s">
        <v>2003</v>
      </c>
      <c r="B216" s="6" t="s">
        <v>2004</v>
      </c>
      <c r="C216" s="6" t="s">
        <v>1829</v>
      </c>
      <c r="D216" s="6" t="s">
        <v>2006</v>
      </c>
      <c r="E216" s="6"/>
    </row>
    <row r="217" customFormat="false" ht="16.5" hidden="false" customHeight="true" outlineLevel="0" collapsed="false">
      <c r="A217" s="10" t="s">
        <v>2007</v>
      </c>
      <c r="B217" s="11" t="s">
        <v>2008</v>
      </c>
      <c r="C217" s="11" t="s">
        <v>1829</v>
      </c>
      <c r="D217" s="11" t="s">
        <v>2009</v>
      </c>
      <c r="E217" s="11"/>
    </row>
    <row r="218" customFormat="false" ht="16.5" hidden="false" customHeight="true" outlineLevel="0" collapsed="false">
      <c r="A218" s="5" t="s">
        <v>2007</v>
      </c>
      <c r="B218" s="6" t="s">
        <v>2008</v>
      </c>
      <c r="C218" s="6" t="s">
        <v>1829</v>
      </c>
      <c r="D218" s="6" t="s">
        <v>2010</v>
      </c>
      <c r="E218" s="6"/>
    </row>
    <row r="219" customFormat="false" ht="16.5" hidden="false" customHeight="true" outlineLevel="0" collapsed="false">
      <c r="A219" s="10" t="s">
        <v>2011</v>
      </c>
      <c r="B219" s="11" t="s">
        <v>2001</v>
      </c>
      <c r="C219" s="11" t="s">
        <v>1829</v>
      </c>
      <c r="D219" s="11" t="s">
        <v>2012</v>
      </c>
      <c r="E219" s="11"/>
    </row>
    <row r="220" customFormat="false" ht="16.5" hidden="false" customHeight="true" outlineLevel="0" collapsed="false">
      <c r="A220" s="5" t="s">
        <v>2013</v>
      </c>
      <c r="B220" s="6" t="s">
        <v>2014</v>
      </c>
      <c r="C220" s="6" t="s">
        <v>1829</v>
      </c>
      <c r="D220" s="6" t="s">
        <v>2015</v>
      </c>
      <c r="E220" s="6"/>
    </row>
    <row r="221" customFormat="false" ht="16.5" hidden="false" customHeight="true" outlineLevel="0" collapsed="false">
      <c r="A221" s="10" t="s">
        <v>2013</v>
      </c>
      <c r="B221" s="11" t="s">
        <v>2014</v>
      </c>
      <c r="C221" s="11" t="s">
        <v>1829</v>
      </c>
      <c r="D221" s="11" t="s">
        <v>2016</v>
      </c>
      <c r="E221" s="11"/>
    </row>
    <row r="222" customFormat="false" ht="16.5" hidden="false" customHeight="true" outlineLevel="0" collapsed="false">
      <c r="A222" s="5" t="s">
        <v>2013</v>
      </c>
      <c r="B222" s="6" t="s">
        <v>2014</v>
      </c>
      <c r="C222" s="6" t="s">
        <v>1829</v>
      </c>
      <c r="D222" s="6" t="s">
        <v>2017</v>
      </c>
      <c r="E222" s="6"/>
    </row>
    <row r="223" customFormat="false" ht="16.5" hidden="false" customHeight="true" outlineLevel="0" collapsed="false">
      <c r="A223" s="10" t="s">
        <v>2013</v>
      </c>
      <c r="B223" s="11" t="s">
        <v>2014</v>
      </c>
      <c r="C223" s="11" t="s">
        <v>1829</v>
      </c>
      <c r="D223" s="11" t="s">
        <v>2018</v>
      </c>
      <c r="E223" s="11"/>
    </row>
    <row r="224" customFormat="false" ht="16.5" hidden="false" customHeight="true" outlineLevel="0" collapsed="false">
      <c r="A224" s="5" t="s">
        <v>2013</v>
      </c>
      <c r="B224" s="6" t="s">
        <v>2014</v>
      </c>
      <c r="C224" s="6" t="s">
        <v>1829</v>
      </c>
      <c r="D224" s="6" t="s">
        <v>2019</v>
      </c>
      <c r="E224" s="6"/>
    </row>
    <row r="225" customFormat="false" ht="16.5" hidden="false" customHeight="true" outlineLevel="0" collapsed="false">
      <c r="A225" s="10" t="s">
        <v>2013</v>
      </c>
      <c r="B225" s="11" t="s">
        <v>2014</v>
      </c>
      <c r="C225" s="11" t="s">
        <v>1829</v>
      </c>
      <c r="D225" s="11" t="s">
        <v>2020</v>
      </c>
      <c r="E225" s="11"/>
    </row>
    <row r="226" customFormat="false" ht="16.5" hidden="false" customHeight="true" outlineLevel="0" collapsed="false">
      <c r="A226" s="5" t="s">
        <v>2013</v>
      </c>
      <c r="B226" s="6" t="s">
        <v>2014</v>
      </c>
      <c r="C226" s="6" t="s">
        <v>1829</v>
      </c>
      <c r="D226" s="6" t="s">
        <v>2021</v>
      </c>
      <c r="E226" s="6"/>
    </row>
    <row r="227" customFormat="false" ht="16.5" hidden="false" customHeight="true" outlineLevel="0" collapsed="false">
      <c r="A227" s="10" t="s">
        <v>2013</v>
      </c>
      <c r="B227" s="11" t="s">
        <v>2014</v>
      </c>
      <c r="C227" s="11" t="s">
        <v>1829</v>
      </c>
      <c r="D227" s="11" t="s">
        <v>2022</v>
      </c>
      <c r="E227" s="11"/>
    </row>
    <row r="228" customFormat="false" ht="16.5" hidden="false" customHeight="true" outlineLevel="0" collapsed="false">
      <c r="A228" s="5" t="s">
        <v>2013</v>
      </c>
      <c r="B228" s="6" t="s">
        <v>2014</v>
      </c>
      <c r="C228" s="6" t="s">
        <v>1829</v>
      </c>
      <c r="D228" s="6" t="s">
        <v>2023</v>
      </c>
      <c r="E228" s="6"/>
    </row>
    <row r="229" customFormat="false" ht="16.5" hidden="false" customHeight="true" outlineLevel="0" collapsed="false">
      <c r="A229" s="10" t="s">
        <v>2013</v>
      </c>
      <c r="B229" s="11" t="s">
        <v>2014</v>
      </c>
      <c r="C229" s="11" t="s">
        <v>1829</v>
      </c>
      <c r="D229" s="11" t="s">
        <v>2024</v>
      </c>
      <c r="E229" s="11"/>
    </row>
    <row r="230" customFormat="false" ht="16.5" hidden="false" customHeight="true" outlineLevel="0" collapsed="false">
      <c r="A230" s="5" t="s">
        <v>2025</v>
      </c>
      <c r="B230" s="6" t="s">
        <v>2026</v>
      </c>
      <c r="C230" s="6" t="s">
        <v>1829</v>
      </c>
      <c r="D230" s="6" t="s">
        <v>2027</v>
      </c>
      <c r="E230" s="6"/>
    </row>
    <row r="231" customFormat="false" ht="16.5" hidden="false" customHeight="true" outlineLevel="0" collapsed="false">
      <c r="A231" s="10" t="s">
        <v>2025</v>
      </c>
      <c r="B231" s="11" t="s">
        <v>2026</v>
      </c>
      <c r="C231" s="11" t="s">
        <v>1829</v>
      </c>
      <c r="D231" s="11" t="s">
        <v>2028</v>
      </c>
      <c r="E231" s="11"/>
    </row>
    <row r="232" customFormat="false" ht="16.5" hidden="false" customHeight="true" outlineLevel="0" collapsed="false">
      <c r="A232" s="5" t="s">
        <v>2025</v>
      </c>
      <c r="B232" s="6" t="s">
        <v>2026</v>
      </c>
      <c r="C232" s="6" t="s">
        <v>1829</v>
      </c>
      <c r="D232" s="6" t="s">
        <v>2029</v>
      </c>
      <c r="E232" s="6"/>
    </row>
    <row r="233" customFormat="false" ht="16.5" hidden="false" customHeight="true" outlineLevel="0" collapsed="false">
      <c r="A233" s="10" t="s">
        <v>2030</v>
      </c>
      <c r="B233" s="11" t="s">
        <v>2031</v>
      </c>
      <c r="C233" s="11" t="s">
        <v>2032</v>
      </c>
      <c r="D233" s="11" t="s">
        <v>2033</v>
      </c>
      <c r="E233" s="11"/>
    </row>
    <row r="234" customFormat="false" ht="16.5" hidden="false" customHeight="true" outlineLevel="0" collapsed="false">
      <c r="A234" s="5" t="s">
        <v>2030</v>
      </c>
      <c r="B234" s="6" t="s">
        <v>2031</v>
      </c>
      <c r="C234" s="6" t="s">
        <v>2032</v>
      </c>
      <c r="D234" s="6" t="s">
        <v>2034</v>
      </c>
      <c r="E234" s="6"/>
    </row>
    <row r="235" customFormat="false" ht="16.5" hidden="false" customHeight="true" outlineLevel="0" collapsed="false">
      <c r="A235" s="10" t="s">
        <v>2030</v>
      </c>
      <c r="B235" s="11" t="s">
        <v>2031</v>
      </c>
      <c r="C235" s="11" t="s">
        <v>2032</v>
      </c>
      <c r="D235" s="11" t="s">
        <v>2035</v>
      </c>
      <c r="E235" s="11"/>
    </row>
    <row r="236" customFormat="false" ht="16.5" hidden="false" customHeight="true" outlineLevel="0" collapsed="false">
      <c r="A236" s="5" t="s">
        <v>2030</v>
      </c>
      <c r="B236" s="6" t="s">
        <v>2031</v>
      </c>
      <c r="C236" s="6" t="s">
        <v>2032</v>
      </c>
      <c r="D236" s="6" t="s">
        <v>2036</v>
      </c>
      <c r="E236" s="6"/>
    </row>
    <row r="237" customFormat="false" ht="16.5" hidden="false" customHeight="true" outlineLevel="0" collapsed="false">
      <c r="A237" s="10" t="s">
        <v>2030</v>
      </c>
      <c r="B237" s="11" t="s">
        <v>2031</v>
      </c>
      <c r="C237" s="11" t="s">
        <v>2032</v>
      </c>
      <c r="D237" s="11" t="s">
        <v>2037</v>
      </c>
      <c r="E237" s="11"/>
    </row>
    <row r="238" customFormat="false" ht="16.5" hidden="false" customHeight="true" outlineLevel="0" collapsed="false">
      <c r="A238" s="5" t="s">
        <v>2030</v>
      </c>
      <c r="B238" s="6" t="s">
        <v>2031</v>
      </c>
      <c r="C238" s="6" t="s">
        <v>2032</v>
      </c>
      <c r="D238" s="6" t="s">
        <v>2038</v>
      </c>
      <c r="E238" s="6"/>
    </row>
    <row r="239" customFormat="false" ht="16.5" hidden="false" customHeight="true" outlineLevel="0" collapsed="false">
      <c r="A239" s="10" t="s">
        <v>2030</v>
      </c>
      <c r="B239" s="11" t="s">
        <v>2031</v>
      </c>
      <c r="C239" s="11" t="s">
        <v>2032</v>
      </c>
      <c r="D239" s="11" t="s">
        <v>2039</v>
      </c>
      <c r="E239" s="11"/>
    </row>
    <row r="240" customFormat="false" ht="16.5" hidden="false" customHeight="true" outlineLevel="0" collapsed="false">
      <c r="A240" s="5" t="s">
        <v>2030</v>
      </c>
      <c r="B240" s="6" t="s">
        <v>2031</v>
      </c>
      <c r="C240" s="6" t="s">
        <v>2032</v>
      </c>
      <c r="D240" s="6" t="s">
        <v>2040</v>
      </c>
      <c r="E240" s="6"/>
    </row>
    <row r="241" customFormat="false" ht="16.5" hidden="false" customHeight="true" outlineLevel="0" collapsed="false">
      <c r="A241" s="10" t="s">
        <v>2030</v>
      </c>
      <c r="B241" s="11" t="s">
        <v>2031</v>
      </c>
      <c r="C241" s="11" t="s">
        <v>2032</v>
      </c>
      <c r="D241" s="11" t="s">
        <v>2041</v>
      </c>
      <c r="E241" s="11"/>
    </row>
    <row r="242" customFormat="false" ht="16.5" hidden="false" customHeight="true" outlineLevel="0" collapsed="false">
      <c r="A242" s="5" t="s">
        <v>2030</v>
      </c>
      <c r="B242" s="6" t="s">
        <v>2031</v>
      </c>
      <c r="C242" s="6" t="s">
        <v>2032</v>
      </c>
      <c r="D242" s="6" t="s">
        <v>2042</v>
      </c>
      <c r="E242" s="6"/>
    </row>
    <row r="243" customFormat="false" ht="16.5" hidden="false" customHeight="true" outlineLevel="0" collapsed="false">
      <c r="A243" s="10" t="s">
        <v>2030</v>
      </c>
      <c r="B243" s="11" t="s">
        <v>2031</v>
      </c>
      <c r="C243" s="11" t="s">
        <v>2032</v>
      </c>
      <c r="D243" s="11" t="s">
        <v>2043</v>
      </c>
      <c r="E243" s="11"/>
    </row>
    <row r="244" customFormat="false" ht="16.5" hidden="false" customHeight="true" outlineLevel="0" collapsed="false">
      <c r="A244" s="5" t="s">
        <v>2044</v>
      </c>
      <c r="B244" s="6" t="s">
        <v>2045</v>
      </c>
      <c r="C244" s="6" t="s">
        <v>2046</v>
      </c>
      <c r="D244" s="6" t="s">
        <v>2047</v>
      </c>
      <c r="E244" s="6" t="s">
        <v>1823</v>
      </c>
    </row>
    <row r="245" customFormat="false" ht="16.5" hidden="false" customHeight="true" outlineLevel="0" collapsed="false">
      <c r="A245" s="10" t="s">
        <v>2044</v>
      </c>
      <c r="B245" s="11" t="s">
        <v>2045</v>
      </c>
      <c r="C245" s="11" t="s">
        <v>2046</v>
      </c>
      <c r="D245" s="11" t="s">
        <v>2048</v>
      </c>
      <c r="E245" s="11"/>
    </row>
    <row r="246" customFormat="false" ht="16.5" hidden="false" customHeight="true" outlineLevel="0" collapsed="false">
      <c r="A246" s="5" t="s">
        <v>2044</v>
      </c>
      <c r="B246" s="6" t="s">
        <v>2045</v>
      </c>
      <c r="C246" s="6" t="s">
        <v>2046</v>
      </c>
      <c r="D246" s="6" t="s">
        <v>2049</v>
      </c>
      <c r="E246" s="6" t="s">
        <v>1823</v>
      </c>
    </row>
    <row r="247" customFormat="false" ht="16.5" hidden="false" customHeight="true" outlineLevel="0" collapsed="false">
      <c r="A247" s="10" t="s">
        <v>2044</v>
      </c>
      <c r="B247" s="11" t="s">
        <v>2045</v>
      </c>
      <c r="C247" s="11" t="s">
        <v>2046</v>
      </c>
      <c r="D247" s="11" t="s">
        <v>2050</v>
      </c>
      <c r="E247" s="11"/>
    </row>
    <row r="248" customFormat="false" ht="16.5" hidden="false" customHeight="true" outlineLevel="0" collapsed="false">
      <c r="A248" s="5" t="s">
        <v>2051</v>
      </c>
      <c r="B248" s="6" t="s">
        <v>2052</v>
      </c>
      <c r="C248" s="6" t="s">
        <v>2046</v>
      </c>
      <c r="D248" s="6" t="s">
        <v>2053</v>
      </c>
      <c r="E248" s="6"/>
    </row>
    <row r="249" customFormat="false" ht="16.5" hidden="false" customHeight="true" outlineLevel="0" collapsed="false">
      <c r="A249" s="10" t="s">
        <v>2051</v>
      </c>
      <c r="B249" s="11" t="s">
        <v>2052</v>
      </c>
      <c r="C249" s="11" t="s">
        <v>2046</v>
      </c>
      <c r="D249" s="11" t="s">
        <v>2054</v>
      </c>
      <c r="E249" s="11"/>
    </row>
    <row r="250" customFormat="false" ht="16.5" hidden="false" customHeight="true" outlineLevel="0" collapsed="false">
      <c r="A250" s="5" t="s">
        <v>2051</v>
      </c>
      <c r="B250" s="6" t="s">
        <v>2052</v>
      </c>
      <c r="C250" s="6" t="s">
        <v>2046</v>
      </c>
      <c r="D250" s="6" t="s">
        <v>2055</v>
      </c>
      <c r="E250" s="6"/>
    </row>
    <row r="251" customFormat="false" ht="16.5" hidden="false" customHeight="true" outlineLevel="0" collapsed="false">
      <c r="A251" s="10" t="s">
        <v>2051</v>
      </c>
      <c r="B251" s="11" t="s">
        <v>2052</v>
      </c>
      <c r="C251" s="11" t="s">
        <v>2046</v>
      </c>
      <c r="D251" s="11" t="s">
        <v>2056</v>
      </c>
      <c r="E251" s="11"/>
    </row>
    <row r="252" customFormat="false" ht="16.5" hidden="false" customHeight="true" outlineLevel="0" collapsed="false">
      <c r="A252" s="5" t="s">
        <v>2051</v>
      </c>
      <c r="B252" s="6" t="s">
        <v>2052</v>
      </c>
      <c r="C252" s="6" t="s">
        <v>2046</v>
      </c>
      <c r="D252" s="6" t="s">
        <v>2057</v>
      </c>
      <c r="E252" s="6"/>
    </row>
    <row r="253" customFormat="false" ht="16.5" hidden="false" customHeight="true" outlineLevel="0" collapsed="false">
      <c r="A253" s="10" t="s">
        <v>2058</v>
      </c>
      <c r="B253" s="11" t="s">
        <v>2059</v>
      </c>
      <c r="C253" s="11" t="s">
        <v>1829</v>
      </c>
      <c r="D253" s="11" t="s">
        <v>2060</v>
      </c>
      <c r="E253" s="11"/>
    </row>
    <row r="254" customFormat="false" ht="16.5" hidden="false" customHeight="true" outlineLevel="0" collapsed="false">
      <c r="A254" s="5" t="s">
        <v>2058</v>
      </c>
      <c r="B254" s="6" t="s">
        <v>2059</v>
      </c>
      <c r="C254" s="6" t="s">
        <v>1829</v>
      </c>
      <c r="D254" s="6" t="s">
        <v>2061</v>
      </c>
      <c r="E254" s="6"/>
    </row>
    <row r="255" customFormat="false" ht="16.5" hidden="false" customHeight="true" outlineLevel="0" collapsed="false">
      <c r="A255" s="10" t="s">
        <v>2058</v>
      </c>
      <c r="B255" s="11" t="s">
        <v>2059</v>
      </c>
      <c r="C255" s="11" t="s">
        <v>1829</v>
      </c>
      <c r="D255" s="11" t="s">
        <v>2062</v>
      </c>
      <c r="E255" s="11"/>
    </row>
    <row r="256" customFormat="false" ht="16.5" hidden="false" customHeight="true" outlineLevel="0" collapsed="false">
      <c r="A256" s="5" t="s">
        <v>2058</v>
      </c>
      <c r="B256" s="6" t="s">
        <v>2059</v>
      </c>
      <c r="C256" s="6" t="s">
        <v>1829</v>
      </c>
      <c r="D256" s="6" t="s">
        <v>2063</v>
      </c>
      <c r="E256" s="6"/>
    </row>
    <row r="257" customFormat="false" ht="16.5" hidden="false" customHeight="true" outlineLevel="0" collapsed="false">
      <c r="A257" s="10" t="s">
        <v>2064</v>
      </c>
      <c r="B257" s="11" t="s">
        <v>2065</v>
      </c>
      <c r="C257" s="11" t="s">
        <v>774</v>
      </c>
      <c r="D257" s="11" t="s">
        <v>2066</v>
      </c>
      <c r="E257" s="11"/>
    </row>
    <row r="258" customFormat="false" ht="16.5" hidden="false" customHeight="true" outlineLevel="0" collapsed="false">
      <c r="A258" s="5" t="s">
        <v>2064</v>
      </c>
      <c r="B258" s="6" t="s">
        <v>2065</v>
      </c>
      <c r="C258" s="6" t="s">
        <v>774</v>
      </c>
      <c r="D258" s="6" t="s">
        <v>2067</v>
      </c>
      <c r="E258" s="6"/>
    </row>
    <row r="259" customFormat="false" ht="16.5" hidden="false" customHeight="true" outlineLevel="0" collapsed="false">
      <c r="A259" s="10" t="s">
        <v>2064</v>
      </c>
      <c r="B259" s="11" t="s">
        <v>2065</v>
      </c>
      <c r="C259" s="11" t="s">
        <v>774</v>
      </c>
      <c r="D259" s="11" t="s">
        <v>2068</v>
      </c>
      <c r="E259" s="11"/>
    </row>
    <row r="260" customFormat="false" ht="16.5" hidden="false" customHeight="true" outlineLevel="0" collapsed="false">
      <c r="A260" s="5" t="s">
        <v>2064</v>
      </c>
      <c r="B260" s="6" t="s">
        <v>2065</v>
      </c>
      <c r="C260" s="6" t="s">
        <v>774</v>
      </c>
      <c r="D260" s="6" t="s">
        <v>2069</v>
      </c>
      <c r="E260" s="6"/>
    </row>
    <row r="261" customFormat="false" ht="16.5" hidden="false" customHeight="true" outlineLevel="0" collapsed="false">
      <c r="A261" s="10" t="s">
        <v>2064</v>
      </c>
      <c r="B261" s="11" t="s">
        <v>2065</v>
      </c>
      <c r="C261" s="11" t="s">
        <v>774</v>
      </c>
      <c r="D261" s="11" t="s">
        <v>2070</v>
      </c>
      <c r="E261" s="11"/>
    </row>
    <row r="262" customFormat="false" ht="16.5" hidden="false" customHeight="true" outlineLevel="0" collapsed="false">
      <c r="A262" s="5" t="s">
        <v>2064</v>
      </c>
      <c r="B262" s="6" t="s">
        <v>2065</v>
      </c>
      <c r="C262" s="6" t="s">
        <v>774</v>
      </c>
      <c r="D262" s="6" t="s">
        <v>2071</v>
      </c>
      <c r="E262" s="6"/>
    </row>
    <row r="263" customFormat="false" ht="16.5" hidden="false" customHeight="true" outlineLevel="0" collapsed="false">
      <c r="A263" s="10" t="s">
        <v>2064</v>
      </c>
      <c r="B263" s="11" t="s">
        <v>2065</v>
      </c>
      <c r="C263" s="11" t="s">
        <v>774</v>
      </c>
      <c r="D263" s="11" t="s">
        <v>2072</v>
      </c>
      <c r="E263" s="11"/>
    </row>
    <row r="264" customFormat="false" ht="16.5" hidden="false" customHeight="true" outlineLevel="0" collapsed="false">
      <c r="A264" s="5" t="s">
        <v>2064</v>
      </c>
      <c r="B264" s="6" t="s">
        <v>2065</v>
      </c>
      <c r="C264" s="6" t="s">
        <v>774</v>
      </c>
      <c r="D264" s="6" t="s">
        <v>2073</v>
      </c>
      <c r="E264" s="6"/>
    </row>
    <row r="265" customFormat="false" ht="16.5" hidden="false" customHeight="true" outlineLevel="0" collapsed="false">
      <c r="A265" s="10" t="s">
        <v>2064</v>
      </c>
      <c r="B265" s="11" t="s">
        <v>2065</v>
      </c>
      <c r="C265" s="11" t="s">
        <v>774</v>
      </c>
      <c r="D265" s="11" t="s">
        <v>2074</v>
      </c>
      <c r="E265" s="11"/>
    </row>
    <row r="266" customFormat="false" ht="16.5" hidden="false" customHeight="true" outlineLevel="0" collapsed="false">
      <c r="A266" s="5" t="s">
        <v>2064</v>
      </c>
      <c r="B266" s="6" t="s">
        <v>2065</v>
      </c>
      <c r="C266" s="6" t="s">
        <v>774</v>
      </c>
      <c r="D266" s="6" t="s">
        <v>2075</v>
      </c>
      <c r="E266" s="6"/>
    </row>
    <row r="267" customFormat="false" ht="16.5" hidden="false" customHeight="true" outlineLevel="0" collapsed="false">
      <c r="A267" s="10" t="s">
        <v>2064</v>
      </c>
      <c r="B267" s="11" t="s">
        <v>2065</v>
      </c>
      <c r="C267" s="11" t="s">
        <v>774</v>
      </c>
      <c r="D267" s="11" t="s">
        <v>2076</v>
      </c>
      <c r="E267" s="11"/>
    </row>
    <row r="268" customFormat="false" ht="16.5" hidden="false" customHeight="true" outlineLevel="0" collapsed="false">
      <c r="A268" s="5" t="s">
        <v>2077</v>
      </c>
      <c r="B268" s="6" t="s">
        <v>2078</v>
      </c>
      <c r="C268" s="6" t="s">
        <v>555</v>
      </c>
      <c r="D268" s="6" t="s">
        <v>2079</v>
      </c>
      <c r="E268" s="6" t="s">
        <v>1823</v>
      </c>
    </row>
    <row r="269" customFormat="false" ht="16.5" hidden="false" customHeight="true" outlineLevel="0" collapsed="false">
      <c r="A269" s="10" t="s">
        <v>2077</v>
      </c>
      <c r="B269" s="11" t="s">
        <v>2078</v>
      </c>
      <c r="C269" s="11" t="s">
        <v>555</v>
      </c>
      <c r="D269" s="11" t="s">
        <v>2080</v>
      </c>
      <c r="E269" s="11"/>
    </row>
    <row r="270" customFormat="false" ht="16.5" hidden="false" customHeight="true" outlineLevel="0" collapsed="false">
      <c r="A270" s="5" t="s">
        <v>2077</v>
      </c>
      <c r="B270" s="6" t="s">
        <v>2078</v>
      </c>
      <c r="C270" s="6" t="s">
        <v>555</v>
      </c>
      <c r="D270" s="6" t="s">
        <v>2081</v>
      </c>
      <c r="E270" s="6" t="s">
        <v>1823</v>
      </c>
    </row>
    <row r="271" customFormat="false" ht="16.5" hidden="false" customHeight="true" outlineLevel="0" collapsed="false">
      <c r="A271" s="10" t="s">
        <v>2077</v>
      </c>
      <c r="B271" s="11" t="s">
        <v>2078</v>
      </c>
      <c r="C271" s="11" t="s">
        <v>555</v>
      </c>
      <c r="D271" s="11" t="s">
        <v>2082</v>
      </c>
      <c r="E271" s="11"/>
    </row>
    <row r="272" customFormat="false" ht="16.5" hidden="false" customHeight="true" outlineLevel="0" collapsed="false">
      <c r="A272" s="5" t="s">
        <v>2077</v>
      </c>
      <c r="B272" s="6" t="s">
        <v>2078</v>
      </c>
      <c r="C272" s="6" t="s">
        <v>555</v>
      </c>
      <c r="D272" s="6" t="s">
        <v>2083</v>
      </c>
      <c r="E272" s="6" t="s">
        <v>1823</v>
      </c>
    </row>
    <row r="273" customFormat="false" ht="16.5" hidden="false" customHeight="true" outlineLevel="0" collapsed="false">
      <c r="A273" s="10" t="s">
        <v>2077</v>
      </c>
      <c r="B273" s="11" t="s">
        <v>2078</v>
      </c>
      <c r="C273" s="11" t="s">
        <v>555</v>
      </c>
      <c r="D273" s="11" t="s">
        <v>2084</v>
      </c>
      <c r="E273" s="11"/>
    </row>
    <row r="274" customFormat="false" ht="16.5" hidden="false" customHeight="true" outlineLevel="0" collapsed="false">
      <c r="A274" s="5" t="s">
        <v>2077</v>
      </c>
      <c r="B274" s="6" t="s">
        <v>2078</v>
      </c>
      <c r="C274" s="6" t="s">
        <v>555</v>
      </c>
      <c r="D274" s="6" t="s">
        <v>2085</v>
      </c>
      <c r="E274" s="6"/>
    </row>
    <row r="275" customFormat="false" ht="16.5" hidden="false" customHeight="true" outlineLevel="0" collapsed="false">
      <c r="A275" s="10" t="s">
        <v>2086</v>
      </c>
      <c r="B275" s="11" t="s">
        <v>2087</v>
      </c>
      <c r="C275" s="11" t="s">
        <v>2088</v>
      </c>
      <c r="D275" s="11" t="s">
        <v>2089</v>
      </c>
      <c r="E275" s="11"/>
    </row>
    <row r="276" customFormat="false" ht="16.5" hidden="false" customHeight="true" outlineLevel="0" collapsed="false">
      <c r="A276" s="5" t="s">
        <v>2086</v>
      </c>
      <c r="B276" s="6" t="s">
        <v>2087</v>
      </c>
      <c r="C276" s="6" t="s">
        <v>2088</v>
      </c>
      <c r="D276" s="6" t="s">
        <v>2090</v>
      </c>
      <c r="E276" s="6"/>
    </row>
    <row r="277" customFormat="false" ht="16.5" hidden="false" customHeight="true" outlineLevel="0" collapsed="false">
      <c r="A277" s="10" t="s">
        <v>2086</v>
      </c>
      <c r="B277" s="11" t="s">
        <v>2087</v>
      </c>
      <c r="C277" s="11" t="s">
        <v>2088</v>
      </c>
      <c r="D277" s="11" t="s">
        <v>2091</v>
      </c>
      <c r="E277" s="11"/>
    </row>
    <row r="278" customFormat="false" ht="16.5" hidden="false" customHeight="true" outlineLevel="0" collapsed="false">
      <c r="A278" s="5" t="s">
        <v>2086</v>
      </c>
      <c r="B278" s="6" t="s">
        <v>2087</v>
      </c>
      <c r="C278" s="6" t="s">
        <v>2088</v>
      </c>
      <c r="D278" s="6" t="s">
        <v>2092</v>
      </c>
      <c r="E278" s="6"/>
    </row>
    <row r="279" customFormat="false" ht="16.5" hidden="false" customHeight="true" outlineLevel="0" collapsed="false">
      <c r="A279" s="10" t="s">
        <v>2086</v>
      </c>
      <c r="B279" s="11" t="s">
        <v>2087</v>
      </c>
      <c r="C279" s="11" t="s">
        <v>2088</v>
      </c>
      <c r="D279" s="11" t="s">
        <v>2093</v>
      </c>
      <c r="E279" s="11"/>
    </row>
    <row r="280" customFormat="false" ht="16.5" hidden="false" customHeight="true" outlineLevel="0" collapsed="false">
      <c r="A280" s="5" t="s">
        <v>2086</v>
      </c>
      <c r="B280" s="6" t="s">
        <v>2087</v>
      </c>
      <c r="C280" s="6" t="s">
        <v>2088</v>
      </c>
      <c r="D280" s="6" t="s">
        <v>2094</v>
      </c>
      <c r="E280" s="6" t="s">
        <v>1823</v>
      </c>
    </row>
    <row r="281" customFormat="false" ht="16.5" hidden="false" customHeight="true" outlineLevel="0" collapsed="false">
      <c r="A281" s="10" t="s">
        <v>2095</v>
      </c>
      <c r="B281" s="11" t="s">
        <v>2096</v>
      </c>
      <c r="C281" s="11" t="s">
        <v>861</v>
      </c>
      <c r="D281" s="11" t="s">
        <v>2097</v>
      </c>
      <c r="E281" s="11"/>
    </row>
    <row r="282" customFormat="false" ht="16.5" hidden="false" customHeight="true" outlineLevel="0" collapsed="false">
      <c r="A282" s="5" t="s">
        <v>2095</v>
      </c>
      <c r="B282" s="6" t="s">
        <v>2096</v>
      </c>
      <c r="C282" s="6" t="s">
        <v>861</v>
      </c>
      <c r="D282" s="6" t="s">
        <v>2098</v>
      </c>
      <c r="E282" s="6"/>
    </row>
    <row r="283" customFormat="false" ht="16.5" hidden="false" customHeight="true" outlineLevel="0" collapsed="false">
      <c r="A283" s="10" t="s">
        <v>2095</v>
      </c>
      <c r="B283" s="11" t="s">
        <v>2096</v>
      </c>
      <c r="C283" s="11" t="s">
        <v>861</v>
      </c>
      <c r="D283" s="11" t="s">
        <v>2099</v>
      </c>
      <c r="E283" s="11"/>
    </row>
    <row r="284" customFormat="false" ht="16.5" hidden="false" customHeight="true" outlineLevel="0" collapsed="false">
      <c r="A284" s="5" t="s">
        <v>2095</v>
      </c>
      <c r="B284" s="6" t="s">
        <v>2096</v>
      </c>
      <c r="C284" s="6" t="s">
        <v>861</v>
      </c>
      <c r="D284" s="6" t="s">
        <v>2100</v>
      </c>
      <c r="E284" s="6"/>
    </row>
    <row r="285" customFormat="false" ht="16.5" hidden="false" customHeight="true" outlineLevel="0" collapsed="false">
      <c r="A285" s="10" t="s">
        <v>2101</v>
      </c>
      <c r="B285" s="11" t="s">
        <v>2102</v>
      </c>
      <c r="C285" s="11" t="s">
        <v>1829</v>
      </c>
      <c r="D285" s="11" t="s">
        <v>2103</v>
      </c>
      <c r="E285" s="11"/>
    </row>
    <row r="286" customFormat="false" ht="16.5" hidden="false" customHeight="true" outlineLevel="0" collapsed="false">
      <c r="A286" s="5" t="s">
        <v>2101</v>
      </c>
      <c r="B286" s="6" t="s">
        <v>2102</v>
      </c>
      <c r="C286" s="6" t="s">
        <v>1829</v>
      </c>
      <c r="D286" s="6" t="s">
        <v>2104</v>
      </c>
      <c r="E286" s="6"/>
    </row>
    <row r="287" customFormat="false" ht="16.5" hidden="false" customHeight="true" outlineLevel="0" collapsed="false">
      <c r="A287" s="10" t="s">
        <v>2105</v>
      </c>
      <c r="B287" s="11" t="s">
        <v>2106</v>
      </c>
      <c r="C287" s="11" t="s">
        <v>1829</v>
      </c>
      <c r="D287" s="11" t="s">
        <v>2107</v>
      </c>
      <c r="E287" s="11"/>
    </row>
    <row r="288" customFormat="false" ht="16.5" hidden="false" customHeight="true" outlineLevel="0" collapsed="false">
      <c r="A288" s="5" t="s">
        <v>2105</v>
      </c>
      <c r="B288" s="6" t="s">
        <v>2106</v>
      </c>
      <c r="C288" s="6" t="s">
        <v>1829</v>
      </c>
      <c r="D288" s="6" t="s">
        <v>2108</v>
      </c>
      <c r="E288" s="6"/>
    </row>
    <row r="289" customFormat="false" ht="16.5" hidden="false" customHeight="true" outlineLevel="0" collapsed="false">
      <c r="A289" s="10" t="s">
        <v>2105</v>
      </c>
      <c r="B289" s="11" t="s">
        <v>2106</v>
      </c>
      <c r="C289" s="11" t="s">
        <v>1829</v>
      </c>
      <c r="D289" s="11" t="s">
        <v>2109</v>
      </c>
      <c r="E289" s="11"/>
    </row>
    <row r="290" customFormat="false" ht="16.5" hidden="false" customHeight="true" outlineLevel="0" collapsed="false">
      <c r="A290" s="5" t="s">
        <v>2105</v>
      </c>
      <c r="B290" s="6" t="s">
        <v>2106</v>
      </c>
      <c r="C290" s="6" t="s">
        <v>1829</v>
      </c>
      <c r="D290" s="6" t="s">
        <v>2110</v>
      </c>
      <c r="E290" s="6"/>
    </row>
    <row r="291" customFormat="false" ht="16.5" hidden="false" customHeight="true" outlineLevel="0" collapsed="false">
      <c r="A291" s="10" t="s">
        <v>2105</v>
      </c>
      <c r="B291" s="11" t="s">
        <v>2106</v>
      </c>
      <c r="C291" s="11" t="s">
        <v>1829</v>
      </c>
      <c r="D291" s="11" t="s">
        <v>2111</v>
      </c>
      <c r="E291" s="11"/>
    </row>
    <row r="293" customFormat="false" ht="15" hidden="false" customHeight="false" outlineLevel="0" collapsed="false">
      <c r="A293" s="14" t="s">
        <v>2112</v>
      </c>
    </row>
  </sheetData>
  <autoFilter ref="A1:E29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2026-10-25T11:43:37Z</dcterms:created>
  <dc:creator>openpyxl</dc:creator>
  <dc:description/>
  <dc:language>en-US</dc:language>
  <cp:lastModifiedBy/>
  <dcterms:modified xsi:type="dcterms:W3CDTF">2026-10-25T11:43:37Z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